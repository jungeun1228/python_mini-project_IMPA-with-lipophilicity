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ge\Desktop\Cell painting ML\Practice\"/>
    </mc:Choice>
  </mc:AlternateContent>
  <xr:revisionPtr revIDLastSave="0" documentId="13_ncr:1_{4F3E2B5D-237A-4BB1-BFCB-BCF654BCB876}" xr6:coauthVersionLast="47" xr6:coauthVersionMax="47" xr10:uidLastSave="{00000000-0000-0000-0000-000000000000}"/>
  <bookViews>
    <workbookView xWindow="43080" yWindow="-120" windowWidth="38640" windowHeight="21120" xr2:uid="{C2C79DB3-B72D-4F26-9B27-A518FA00431B}"/>
  </bookViews>
  <sheets>
    <sheet name="final table" sheetId="3" r:id="rId1"/>
    <sheet name="original list" sheetId="1" r:id="rId2"/>
    <sheet name="with detailed info" sheetId="2" r:id="rId3"/>
  </sheets>
  <definedNames>
    <definedName name="_xlnm._FilterDatabase" localSheetId="0" hidden="1">'final table'!$C$2:$C$37</definedName>
    <definedName name="_xlnm._FilterDatabase" localSheetId="2" hidden="1">'with detailed info'!$B$23:$B$58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3" l="1"/>
  <c r="P35" i="3"/>
  <c r="P34" i="3"/>
  <c r="P33" i="3"/>
  <c r="P32" i="3"/>
  <c r="P31" i="3"/>
  <c r="P30" i="3"/>
  <c r="P29" i="3"/>
  <c r="P28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0" i="3"/>
  <c r="P9" i="3"/>
  <c r="P8" i="3"/>
  <c r="P7" i="3"/>
  <c r="P6" i="3"/>
  <c r="P5" i="3"/>
  <c r="P4" i="3"/>
  <c r="O33" i="2"/>
  <c r="O52" i="2"/>
  <c r="O50" i="2"/>
  <c r="O47" i="2"/>
  <c r="O45" i="2"/>
  <c r="O43" i="2"/>
  <c r="O40" i="2"/>
  <c r="O39" i="2"/>
  <c r="O38" i="2"/>
  <c r="O37" i="2"/>
  <c r="O36" i="2"/>
  <c r="O34" i="2"/>
  <c r="O30" i="2"/>
  <c r="O28" i="2"/>
  <c r="O57" i="2"/>
  <c r="O56" i="2"/>
  <c r="O55" i="2"/>
  <c r="O54" i="2"/>
  <c r="O53" i="2"/>
  <c r="O51" i="2"/>
  <c r="O49" i="2"/>
  <c r="O46" i="2"/>
  <c r="O44" i="2"/>
  <c r="O42" i="2"/>
  <c r="O41" i="2"/>
  <c r="O35" i="2"/>
  <c r="O31" i="2"/>
  <c r="O27" i="2"/>
  <c r="O26" i="2"/>
  <c r="O3" i="2"/>
  <c r="O29" i="2"/>
  <c r="O21" i="2"/>
  <c r="O5" i="2"/>
  <c r="Q25" i="2"/>
  <c r="O25" i="2"/>
  <c r="Q48" i="2"/>
  <c r="Q72" i="2"/>
  <c r="Q71" i="2"/>
  <c r="O71" i="2"/>
  <c r="Q18" i="2"/>
  <c r="O18" i="2"/>
  <c r="Q15" i="2"/>
  <c r="O15" i="2"/>
  <c r="Q14" i="2"/>
  <c r="O14" i="2"/>
  <c r="Q13" i="2"/>
  <c r="O13" i="2"/>
  <c r="Q11" i="2"/>
  <c r="O11" i="2"/>
  <c r="Q10" i="2"/>
  <c r="O10" i="2"/>
  <c r="Q7" i="2"/>
  <c r="O7" i="2"/>
  <c r="Q6" i="2"/>
  <c r="O6" i="2"/>
  <c r="Q4" i="2"/>
  <c r="Q3" i="2"/>
  <c r="Q2" i="2"/>
  <c r="O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이정은</author>
  </authors>
  <commentList>
    <comment ref="N23" authorId="0" shapeId="0" xr:uid="{42EB5AC1-96CD-44C8-A244-B943721F857E}">
      <text>
        <r>
          <rPr>
            <b/>
            <sz val="9"/>
            <color indexed="81"/>
            <rFont val="Tahoma"/>
            <family val="2"/>
          </rPr>
          <t>이정은:</t>
        </r>
        <r>
          <rPr>
            <sz val="9"/>
            <color indexed="81"/>
            <rFont val="Tahoma"/>
            <family val="2"/>
          </rPr>
          <t xml:space="preserve">
logK membrane-lipid/water  [Lwater/Lmembrane] from LSERD.
Obtained only when experimental descriptors are available for calculation. 
ref: Endo, S.; Escher, B. I.; Goss, K.-U. Environ. Sci. Technol. 2011, 45 (14), 5912-5921.</t>
        </r>
      </text>
    </comment>
    <comment ref="O23" authorId="0" shapeId="0" xr:uid="{554C8299-6AD6-4D09-A7DC-E17DBABFC033}">
      <text>
        <r>
          <rPr>
            <b/>
            <sz val="9"/>
            <color indexed="81"/>
            <rFont val="Tahoma"/>
            <family val="2"/>
          </rPr>
          <t>이정은:</t>
        </r>
        <r>
          <rPr>
            <sz val="9"/>
            <color indexed="81"/>
            <rFont val="Tahoma"/>
            <family val="2"/>
          </rPr>
          <t xml:space="preserve">
1) Experimental logDlipw values
2) Experimental descriptors for LSERD calculation
3) Prediction with logKow
When charged --&gt; (∆mw = 1) condition applied
When no LSERD available --&gt; Kow QSAR used
</t>
        </r>
      </text>
    </comment>
  </commentList>
</comments>
</file>

<file path=xl/sharedStrings.xml><?xml version="1.0" encoding="utf-8"?>
<sst xmlns="http://schemas.openxmlformats.org/spreadsheetml/2006/main" count="1020" uniqueCount="264">
  <si>
    <t>cytochalasin B</t>
  </si>
  <si>
    <t>cytochalasin D</t>
  </si>
  <si>
    <t>latrunculin B</t>
  </si>
  <si>
    <t>AZ258</t>
  </si>
  <si>
    <t>AZ841</t>
  </si>
  <si>
    <t>mevinolin/lovastatin</t>
  </si>
  <si>
    <t>simvastatin</t>
  </si>
  <si>
    <t>chlorambucil</t>
  </si>
  <si>
    <t>cisplatin</t>
  </si>
  <si>
    <t>etoposide</t>
  </si>
  <si>
    <t>mitomycin C</t>
  </si>
  <si>
    <t>camptothecin</t>
  </si>
  <si>
    <t>floxuridine</t>
  </si>
  <si>
    <t>methotrexate</t>
  </si>
  <si>
    <t>mitoxantrone</t>
  </si>
  <si>
    <t>AZ138</t>
  </si>
  <si>
    <t>PP-2</t>
  </si>
  <si>
    <t>alsterpaullone</t>
  </si>
  <si>
    <t>bryostatin</t>
  </si>
  <si>
    <t>PD-169316</t>
  </si>
  <si>
    <t>colchicine</t>
  </si>
  <si>
    <t>demecolcine</t>
  </si>
  <si>
    <t>nocodazole</t>
  </si>
  <si>
    <t>vincristine</t>
  </si>
  <si>
    <t>docetaxel</t>
  </si>
  <si>
    <t>epothilone B</t>
  </si>
  <si>
    <t>taxol</t>
  </si>
  <si>
    <t>ALLN</t>
  </si>
  <si>
    <t>lactacystin</t>
  </si>
  <si>
    <t>MG-132</t>
  </si>
  <si>
    <t>proteasome inhibitor I</t>
  </si>
  <si>
    <t>anisomycin</t>
  </si>
  <si>
    <t>cyclohexamide</t>
  </si>
  <si>
    <t>emetine</t>
  </si>
  <si>
    <t>DMSO</t>
  </si>
  <si>
    <t>DTXSID</t>
  </si>
  <si>
    <t>Chemical name</t>
  </si>
  <si>
    <t xml:space="preserve">MW (g/mol) </t>
  </si>
  <si>
    <t>CASRN</t>
  </si>
  <si>
    <r>
      <t xml:space="preserve">log </t>
    </r>
    <r>
      <rPr>
        <b/>
        <i/>
        <sz val="11"/>
        <color theme="1"/>
        <rFont val="Aptos Narrow"/>
        <family val="2"/>
        <scheme val="minor"/>
      </rPr>
      <t>K</t>
    </r>
    <r>
      <rPr>
        <b/>
        <vertAlign val="subscript"/>
        <sz val="11"/>
        <color theme="1"/>
        <rFont val="Calibri (Body)"/>
      </rPr>
      <t>ow</t>
    </r>
    <r>
      <rPr>
        <b/>
        <sz val="11"/>
        <color theme="1"/>
        <rFont val="Aptos Narrow"/>
        <family val="2"/>
        <scheme val="minor"/>
      </rPr>
      <t xml:space="preserve"> [L/L] </t>
    </r>
  </si>
  <si>
    <t>Reference</t>
  </si>
  <si>
    <r>
      <t>p</t>
    </r>
    <r>
      <rPr>
        <b/>
        <i/>
        <sz val="11"/>
        <color theme="1"/>
        <rFont val="Aptos Narrow"/>
        <family val="2"/>
        <scheme val="minor"/>
      </rPr>
      <t>K</t>
    </r>
    <r>
      <rPr>
        <b/>
        <vertAlign val="subscript"/>
        <sz val="11"/>
        <color theme="1"/>
        <rFont val="Calibri (Body)"/>
      </rPr>
      <t>a</t>
    </r>
    <r>
      <rPr>
        <b/>
        <sz val="11"/>
        <color theme="1"/>
        <rFont val="Aptos Narrow"/>
        <family val="2"/>
        <scheme val="minor"/>
      </rPr>
      <t xml:space="preserve"> (Acid)</t>
    </r>
  </si>
  <si>
    <t>pKa (Base)</t>
  </si>
  <si>
    <t>Neutral form (pH = 7.40)</t>
  </si>
  <si>
    <t>Negative form (pH = 7.40)</t>
  </si>
  <si>
    <t>Positive form (pH = 7.40)</t>
  </si>
  <si>
    <t>Zwitterionic form (pH = 7.40)</t>
  </si>
  <si>
    <r>
      <t xml:space="preserve">log </t>
    </r>
    <r>
      <rPr>
        <b/>
        <i/>
        <sz val="11"/>
        <color indexed="8"/>
        <rFont val="Aptos Narrow"/>
        <family val="2"/>
        <scheme val="minor"/>
      </rPr>
      <t>D</t>
    </r>
    <r>
      <rPr>
        <b/>
        <vertAlign val="subscript"/>
        <sz val="11"/>
        <color indexed="8"/>
        <rFont val="Aptos Narrow"/>
        <family val="2"/>
        <scheme val="minor"/>
      </rPr>
      <t>lipw</t>
    </r>
    <r>
      <rPr>
        <b/>
        <sz val="11"/>
        <color indexed="8"/>
        <rFont val="Aptos Narrow"/>
        <family val="2"/>
        <scheme val="minor"/>
      </rPr>
      <t xml:space="preserve"> (pH 7.4) </t>
    </r>
  </si>
  <si>
    <t>Source</t>
  </si>
  <si>
    <r>
      <t xml:space="preserve">log </t>
    </r>
    <r>
      <rPr>
        <b/>
        <i/>
        <sz val="11"/>
        <color indexed="8"/>
        <rFont val="Aptos Narrow"/>
        <family val="2"/>
        <scheme val="minor"/>
      </rPr>
      <t>D</t>
    </r>
    <r>
      <rPr>
        <b/>
        <vertAlign val="subscript"/>
        <sz val="11"/>
        <color indexed="8"/>
        <rFont val="Aptos Narrow"/>
        <family val="2"/>
        <scheme val="minor"/>
      </rPr>
      <t>BSAw</t>
    </r>
    <r>
      <rPr>
        <b/>
        <sz val="11"/>
        <color indexed="8"/>
        <rFont val="Aptos Narrow"/>
        <family val="2"/>
        <scheme val="minor"/>
      </rPr>
      <t xml:space="preserve"> (pH 7.4) </t>
    </r>
  </si>
  <si>
    <r>
      <t>IC</t>
    </r>
    <r>
      <rPr>
        <b/>
        <vertAlign val="subscript"/>
        <sz val="12"/>
        <color theme="1"/>
        <rFont val="Calibri (Body)"/>
      </rPr>
      <t>10,exp</t>
    </r>
    <r>
      <rPr>
        <b/>
        <sz val="11"/>
        <color theme="1"/>
        <rFont val="Aptos Narrow"/>
        <family val="2"/>
        <scheme val="minor"/>
      </rPr>
      <t xml:space="preserve"> (M)
AREc32</t>
    </r>
  </si>
  <si>
    <r>
      <t>IC</t>
    </r>
    <r>
      <rPr>
        <b/>
        <vertAlign val="subscript"/>
        <sz val="12"/>
        <color theme="1"/>
        <rFont val="Calibri (Body)"/>
      </rPr>
      <t>10,exp</t>
    </r>
    <r>
      <rPr>
        <b/>
        <sz val="11"/>
        <color theme="1"/>
        <rFont val="Aptos Narrow"/>
        <family val="2"/>
        <scheme val="minor"/>
      </rPr>
      <t xml:space="preserve"> (M)
AhR</t>
    </r>
  </si>
  <si>
    <r>
      <t>IC</t>
    </r>
    <r>
      <rPr>
        <b/>
        <vertAlign val="subscript"/>
        <sz val="12"/>
        <color theme="1"/>
        <rFont val="Calibri (Body)"/>
      </rPr>
      <t>10,exp</t>
    </r>
    <r>
      <rPr>
        <b/>
        <sz val="11"/>
        <color theme="1"/>
        <rFont val="Aptos Narrow"/>
        <family val="2"/>
        <scheme val="minor"/>
      </rPr>
      <t xml:space="preserve"> (M)
PPARγ</t>
    </r>
  </si>
  <si>
    <t>SH-SY5Y IC10 (Exp) (M)</t>
  </si>
  <si>
    <t>DTXSID4034601</t>
  </si>
  <si>
    <t>(2R,6S)-Fenpropimorph</t>
  </si>
  <si>
    <t>67564-91-4</t>
  </si>
  <si>
    <t>PhysPropNCCT</t>
  </si>
  <si>
    <t>ACD pKa/GALAS</t>
  </si>
  <si>
    <t>Kow QSAR (∆mw = 1)</t>
  </si>
  <si>
    <t>Kow QSAR</t>
  </si>
  <si>
    <t>Tox21</t>
  </si>
  <si>
    <t>no cytotoxicity</t>
  </si>
  <si>
    <t>DTXSID3044627</t>
  </si>
  <si>
    <t>1-Hydroxybenzotriazole</t>
  </si>
  <si>
    <t>2592-95-2</t>
  </si>
  <si>
    <t xml:space="preserve">Kow QSAR </t>
  </si>
  <si>
    <t>fixed @ 1.31 at logKow &lt; 2 (DeBryun and Gobas 2007)</t>
  </si>
  <si>
    <t>DTXSID5032523</t>
  </si>
  <si>
    <t>1,2-Benzisothiazolin-3-one</t>
  </si>
  <si>
    <t>2634-33-5</t>
  </si>
  <si>
    <t>PP-LFER</t>
  </si>
  <si>
    <t>Escher et al. 2017</t>
  </si>
  <si>
    <t>DTXSID6020147</t>
  </si>
  <si>
    <t>1,2,3-Benzotriazole</t>
  </si>
  <si>
    <t>95-14-7</t>
  </si>
  <si>
    <t>LSERD (∆mw = 1)</t>
  </si>
  <si>
    <t>LSERD</t>
  </si>
  <si>
    <t>Neale et al. 2020</t>
  </si>
  <si>
    <t>DTXSID3025178</t>
  </si>
  <si>
    <t>1,3-Diphenylguanidine</t>
  </si>
  <si>
    <t>102-06-7</t>
  </si>
  <si>
    <t>OPERA</t>
  </si>
  <si>
    <t>DTXSID8022377</t>
  </si>
  <si>
    <t>17alpha-Estradiol</t>
  </si>
  <si>
    <t>57-91-0</t>
  </si>
  <si>
    <t>DTXSID5020576</t>
  </si>
  <si>
    <t>17alpha-Ethinylestradiol</t>
  </si>
  <si>
    <t>57-63-6</t>
  </si>
  <si>
    <t>10.00;13.71</t>
  </si>
  <si>
    <t>Endo et al.2011a</t>
  </si>
  <si>
    <t>DTXSID0020573</t>
  </si>
  <si>
    <t>17beta-Estradiol</t>
  </si>
  <si>
    <t>50-28-2</t>
  </si>
  <si>
    <t>Endo et al. 2011a</t>
  </si>
  <si>
    <t>DTXSID70274236</t>
  </si>
  <si>
    <t>2-(Methylthio)benzothiazole</t>
  </si>
  <si>
    <t>615-22-5</t>
  </si>
  <si>
    <t>DTXSID6032647</t>
  </si>
  <si>
    <t>2-(Thiocyanomethylthio)benzothiazole</t>
  </si>
  <si>
    <t>21564-17-0</t>
  </si>
  <si>
    <t>DTXSID3022164</t>
  </si>
  <si>
    <t>2-Allylphenol</t>
  </si>
  <si>
    <t>1745-81-9</t>
  </si>
  <si>
    <t>Vaes et al. 1997b</t>
  </si>
  <si>
    <t>Escher et al. 2019</t>
  </si>
  <si>
    <t>current study</t>
  </si>
  <si>
    <t>DTXSID4020745</t>
  </si>
  <si>
    <t>2-Amino-3-methyl-3H-imidazo[4,5-f]quinoline</t>
  </si>
  <si>
    <t>76180-96-6</t>
  </si>
  <si>
    <t>7.30;1.33</t>
  </si>
  <si>
    <t>DTXSID1024465</t>
  </si>
  <si>
    <t>2-Aminobenzimidazole</t>
  </si>
  <si>
    <t>934-32-7</t>
  </si>
  <si>
    <t>DTXSID0024505</t>
  </si>
  <si>
    <t>2-Aminopyridine</t>
  </si>
  <si>
    <t>504-29-0</t>
  </si>
  <si>
    <t>DTXSID3030189</t>
  </si>
  <si>
    <t>2-Biphenylamine</t>
  </si>
  <si>
    <t>90-41-5</t>
  </si>
  <si>
    <t>DTXSID1024097</t>
  </si>
  <si>
    <t>2-Butoxyethanol</t>
  </si>
  <si>
    <t>111-76-2</t>
  </si>
  <si>
    <t>DTXSID60579121</t>
  </si>
  <si>
    <t>2-MeO-BDE-68 (	1,5-Dibromo-3-(2,4-dibromophenoxy)-2-methoxybenzene)</t>
  </si>
  <si>
    <t>96920-28-4</t>
  </si>
  <si>
    <t>DTXSID1025726</t>
  </si>
  <si>
    <t>2-Nitroaniline</t>
  </si>
  <si>
    <t>88-74-4</t>
  </si>
  <si>
    <t>DTXSID5020784</t>
  </si>
  <si>
    <t>Lovastatin</t>
  </si>
  <si>
    <t>75330-75-5</t>
  </si>
  <si>
    <t>DTXSID5023035</t>
  </si>
  <si>
    <t>Etoposide</t>
  </si>
  <si>
    <t>33419-42-0</t>
  </si>
  <si>
    <t>9.89;12.54;14.57</t>
  </si>
  <si>
    <t>DTXSID4020822</t>
  </si>
  <si>
    <t>Methotrexate</t>
  </si>
  <si>
    <t>59-05-2</t>
  </si>
  <si>
    <t>3.24;4.88;14.40</t>
  </si>
  <si>
    <t>5.56;1.24</t>
  </si>
  <si>
    <t>fixed @ -1 at logKow &lt; -1 (Gobas 1988)</t>
  </si>
  <si>
    <t>SMILE</t>
  </si>
  <si>
    <t>[H][C@]12[C@H](CC3=CC=CC=C3)NC(=O)[C@@]11[C@@H](\C=C\C[C@H](C)C(=O)[C@](C)(O)\C=C\[C@H]1OC(C)=O)C(O)C(=C)[C@H]2C</t>
  </si>
  <si>
    <t>22144-77-0</t>
  </si>
  <si>
    <t>LogD</t>
  </si>
  <si>
    <t>76343-94-7</t>
  </si>
  <si>
    <t>[H][C@]1(CSC(=O)N1)[C@@]1(O)C[C@@]2([H])C[C@@]([H])(CC[C@H](C)\C=C/CCC(C)=CC(=O)O2)O1</t>
  </si>
  <si>
    <t>305-03-3</t>
  </si>
  <si>
    <t>OC(=O)CCCC1=CC=C(C=C1)N(CCCl)CCCl</t>
  </si>
  <si>
    <t>CO[C@]12[C@H]3N[C@H]3CN1C1=C([C@H]2COC(N)=O)C(=O)C(N)=C(C)C1=O</t>
  </si>
  <si>
    <t>50-07-7</t>
  </si>
  <si>
    <t>7689-03-4</t>
  </si>
  <si>
    <t>CC[C@@]1(O)C(=O)OCC2=C1C=C1N(CC3=CC4=C(C=CC=C4)N=C13)C2=O</t>
  </si>
  <si>
    <t>50-91-9</t>
  </si>
  <si>
    <t>OC[C@H]1O[C@H](C[C@@H]1O)N1C=C(F)C(=O)NC1=O</t>
  </si>
  <si>
    <t xml:space="preserve">
-1.16</t>
  </si>
  <si>
    <t>65271-80-9</t>
  </si>
  <si>
    <t>OCCNCCNC1=CC=C(NCCNCCO)C2=C1C(=O)C1=C(C(O)=CC=C1O)C2=O</t>
  </si>
  <si>
    <t>237430-03-4</t>
  </si>
  <si>
    <t>[O-][N+](=O)C1=CC2=C(NC3=C2CC(=O)NC2=CC=CC=C32)C=C1</t>
  </si>
  <si>
    <t>477-30-5</t>
  </si>
  <si>
    <t>CN[C@H]1CCC2=C(C(OC)=C(OC)C(OC)=C2)C2=CC=C(OC)C(=O)C=C12</t>
  </si>
  <si>
    <t>COC(=O)NC1=NC2=C(N1)C=CC(=C2)C(=O)C1=CC=CS1</t>
  </si>
  <si>
    <t>31430-18-9</t>
  </si>
  <si>
    <t>57-22-7</t>
  </si>
  <si>
    <t>114977-28-5</t>
  </si>
  <si>
    <t>[H][C@@]12C[C@H](O)[C@@]3(C)C(=O)[C@H](O)C4=C(C)[C@H](C[C@@](O)([C@@H](OC(=O)C5=CC=CC=C5)[C@]3([H])[C@@]1(CO2)OC(C)=O)C4(C)C)OC(=O)[C@H](O)[C@@H](NC(=O)OC(C)(C)C)C1=CC=CC=C1</t>
  </si>
  <si>
    <t>CC[C@]1(O)C[C@H]2C[N@@](C1)CCC1=C(NC3=C1C=CC=C3)[C@@](C2)(C(=O)OC)C1=CC2=C(C=C1OC)N(C=O)[C@@H]1[C@]22CCN3CC=C[C@](CC)([C@@H]23)[C@@H](OC(C)=O)[C@]1(O)C(=O)OC</t>
  </si>
  <si>
    <t>152044-54-7</t>
  </si>
  <si>
    <t>C[C@H]1CCC[C@@]2(C)O[C@H]2C[C@H](OC(=O)C[C@H](O)C(C)(C)C(=O)[C@H](C)[C@H]1O)C(\C)=C\C1=CSC(C)=N1</t>
  </si>
  <si>
    <t>133343-34-7</t>
  </si>
  <si>
    <t>CC(C)[C@H](O)[C@]1(NC(=O)[C@H](C)[C@@H]1O)C(=O)SC[C@H](NC(C)=O)C(O)=O</t>
  </si>
  <si>
    <t>158442-41-2</t>
  </si>
  <si>
    <t>CC[C@H](C)[C@H](NC(=O)OCC1=CC=CC=C1)C(=O)N[C@@H](CCC(=O)OC(C)(C)C)C(=O)N[C@@H](C)C(=O)N[C@@H](CC(C)C)C=O</t>
  </si>
  <si>
    <t>22862-76-6</t>
  </si>
  <si>
    <t>66-81-9</t>
  </si>
  <si>
    <t>[H][C@]1(C[C@@H](C)C[C@H](C)C1=O)[C@H](O)CC1CC(=O)NC(=O)C1</t>
  </si>
  <si>
    <t>COC1=CC=C(C[C@H]2NC[C@H](O)[C@H]2OC(C)=O)C=C1</t>
  </si>
  <si>
    <t>483-18-1</t>
  </si>
  <si>
    <t>[H][C@]1(C[C@H]2C[C@]3([H])N(CCC4=C3C=C(OC)C(OC)=C4)C[C@@H]2CC)NCCC2=CC(OC)=C(OC)C=C12</t>
  </si>
  <si>
    <t>14930-96-2</t>
  </si>
  <si>
    <t>[H][C@]12[C@H](CC3=CC=CC=C3)NC(=O)[C@]11OC(=O)\C=C\[C@H](O)CCC[C@@H](C)C\C=C\[C@@]1([H])[C@H](O)C(=C)[C@H]2C</t>
  </si>
  <si>
    <t>79902-63-9</t>
  </si>
  <si>
    <t>CCC(C)(C)C(=O)O[C@H]1C[C@@H](C)C=C2C=C[C@H](C)[C@H](CC[C@@H]3C[C@@H](O)CC(=O)O3)[C@@H]12</t>
  </si>
  <si>
    <t>15663-27-1</t>
  </si>
  <si>
    <t>N[Pt](N)(Cl)Cl</t>
  </si>
  <si>
    <t>100629-51-4</t>
  </si>
  <si>
    <t>64-86-8</t>
  </si>
  <si>
    <t>COC1=CC2=C(C(OC)=C1OC)C1=CC=C(OC)C(=O)C=C1[C@H](CC2)NC(C)=O</t>
  </si>
  <si>
    <t>33069-62-4</t>
  </si>
  <si>
    <t>[H][C@@]12C[C@H](O)[C@@]3(C)C(=O)[C@H](OC(C)=O)C4=C(C)[C@H](C[C@@](O)([C@@H](OC(=O)C5=CC=CC=C5)[C@]3([H])[C@@]1(CO2)OC(C)=O)C4(C)C)OC(=O)[C@H](O)[C@@H](NC(=O)C1=CC=CC=C1)C1=CC=CC=C1</t>
  </si>
  <si>
    <t>133407-82-6</t>
  </si>
  <si>
    <t>CC(C)C[C@H](NC(=O)[C@H](CC(C)C)NC(=O)[C@H](CC(C)C)NC(=O)OCC1=CC=CC=C1)C=O</t>
  </si>
  <si>
    <t>COc1cc(OC[C@H]2CCCN2)c3c(Nc4cnn(CC(=O)Nc5cccc(F)c5F)c4)ncnc3c1</t>
  </si>
  <si>
    <t>CC[C@@H](N(CCCN)C(=O)c1ccc(C)cc1)C2=Nc3ccsc3C(=O)N2Cc4ccccc4</t>
  </si>
  <si>
    <t>CC(C)(C)n1nc(c2ccc(Cl)cc2)c3c(N)ncnc13</t>
  </si>
  <si>
    <t>[O-][N+](=O)c1ccc(cc1)c2nc(c3ccc(F)cc3)c([nH]2)c4ccncc4</t>
  </si>
  <si>
    <t>CCCCC(NC(=O)[C@H](CC(C)C)NC(=O)[C@H](CC(C)C)NC(=O)C)C=O</t>
  </si>
  <si>
    <t>172889-27-9</t>
  </si>
  <si>
    <t>152121-53-4</t>
  </si>
  <si>
    <t>CCC/C=C/C=C/C(=O)O[C@H]1/C(=C/C(=O)OC)/C[C@H]2CC(OC(=O)C[C@@H](CC3CC(C([C@@](O3)(CC4C/C(=C/C(=O)OC)/C[C@@H](O4)/C=C/C([C@@]1(O2)O)(C)C)O)(C)C)OC(=O)C)O)[C@@H](C)O</t>
  </si>
  <si>
    <t>CN(CC1=NC2=C(N=C1)N=C(N)N=C2N)C1=CC=C(C=C1)C(=O)N[C@@H](CCC(O)=O)C(O)=O</t>
  </si>
  <si>
    <t>[H][C@]12COC(=O)[C@]1([H])[C@H](C1=CC(OC)=C(O)C(OC)=C1)C1=CC3=C(OCO3)C=C1[C@H]2O[C@]1([H])O[C@]2([H])CO[C@@H](C)O[C@@]2([H])[C@H](O)[C@H]1O</t>
  </si>
  <si>
    <t>[H][C@]12[C@H](C[C@@H](C)C=C1C=C[C@H](C)[C@@H]2CC[C@@H]1C[C@@H](O)CC(=O)O1)OC(=O)[C@@H](C)CC</t>
  </si>
  <si>
    <t>N/A</t>
  </si>
  <si>
    <t>-1.80; 3.94; 4.65; 8.74</t>
  </si>
  <si>
    <t>11.18; 12.78</t>
  </si>
  <si>
    <t>Chemicalize</t>
  </si>
  <si>
    <t>9.77; 1.91; 0.49</t>
  </si>
  <si>
    <t>-</t>
  </si>
  <si>
    <t>3.28; 2.68; 2.15</t>
  </si>
  <si>
    <t>11.98; 12.49; 13.65</t>
  </si>
  <si>
    <t>8.74; 4.65; 3.94; -1.80</t>
  </si>
  <si>
    <t>10.59; 11.58; 14.34; 15.05</t>
  </si>
  <si>
    <t>3.7; 3.10; 0.85</t>
  </si>
  <si>
    <t>12.49; 13.17; 13.91</t>
  </si>
  <si>
    <t>12.85; 14.00; 14.61</t>
  </si>
  <si>
    <t>11.36; 13.53</t>
  </si>
  <si>
    <t>13.11; 15.04</t>
  </si>
  <si>
    <t>4.03; 5.12</t>
  </si>
  <si>
    <t>9.11; 13.92</t>
  </si>
  <si>
    <t>3.34; -1.85</t>
  </si>
  <si>
    <t>10.85; 14.41</t>
  </si>
  <si>
    <t>8.42; 7.81</t>
  </si>
  <si>
    <t>11.9; 12.68; 13.28</t>
  </si>
  <si>
    <t>14.09; 14.73</t>
  </si>
  <si>
    <t>3.7; 10.43</t>
  </si>
  <si>
    <t>2.84; 0.70</t>
  </si>
  <si>
    <t>9.23; 8.53</t>
  </si>
  <si>
    <t>6.2; 2.67</t>
  </si>
  <si>
    <t>11.79; 12.39</t>
  </si>
  <si>
    <t>3.58; 2.92</t>
  </si>
  <si>
    <t>12.47; 13.08; 13.82</t>
  </si>
  <si>
    <t>3.49; 0.14</t>
  </si>
  <si>
    <t>7.33; 13.91</t>
  </si>
  <si>
    <t>9.76; 11.35</t>
  </si>
  <si>
    <t>9.20; 8.68; 3.34; 0.44</t>
  </si>
  <si>
    <t>Physicochemical properties were primarily obtained from the Supporting Information (Table S2) of Lee et al. ( ) when available.</t>
  </si>
  <si>
    <t>References</t>
  </si>
  <si>
    <t>Lee et al</t>
  </si>
  <si>
    <r>
      <t xml:space="preserve">log </t>
    </r>
    <r>
      <rPr>
        <b/>
        <i/>
        <sz val="11"/>
        <color indexed="8"/>
        <rFont val="Aptos Narrow"/>
        <family val="2"/>
        <scheme val="minor"/>
      </rPr>
      <t>K</t>
    </r>
    <r>
      <rPr>
        <b/>
        <vertAlign val="subscript"/>
        <sz val="11"/>
        <color indexed="8"/>
        <rFont val="Aptos Narrow"/>
        <family val="2"/>
        <scheme val="minor"/>
      </rPr>
      <t>lipw</t>
    </r>
    <r>
      <rPr>
        <b/>
        <sz val="11"/>
        <color indexed="8"/>
        <rFont val="Aptos Narrow"/>
        <family val="2"/>
        <scheme val="minor"/>
      </rPr>
      <t xml:space="preserve"> (LSERD) </t>
    </r>
  </si>
  <si>
    <t>List already in Lee et al.</t>
  </si>
  <si>
    <t>ood_drugs (not used for training)</t>
  </si>
  <si>
    <t>control</t>
  </si>
  <si>
    <t>used for training</t>
  </si>
  <si>
    <t>Type</t>
  </si>
  <si>
    <t>CS(C)=O</t>
  </si>
  <si>
    <t>67-68-5</t>
  </si>
  <si>
    <t>Physicochemical properties were primarily obtained from the Supporting Information (Table S2) of Lee et al. (2021) when available.</t>
  </si>
  <si>
    <r>
      <t xml:space="preserve">log </t>
    </r>
    <r>
      <rPr>
        <b/>
        <i/>
        <sz val="11"/>
        <color indexed="8"/>
        <rFont val="Aptos Narrow"/>
        <family val="2"/>
        <scheme val="minor"/>
      </rPr>
      <t>K</t>
    </r>
    <r>
      <rPr>
        <b/>
        <vertAlign val="subscript"/>
        <sz val="11"/>
        <color indexed="8"/>
        <rFont val="Aptos Narrow"/>
        <family val="2"/>
        <scheme val="minor"/>
      </rPr>
      <t>lipw</t>
    </r>
    <r>
      <rPr>
        <b/>
        <sz val="11"/>
        <color indexed="8"/>
        <rFont val="Aptos Narrow"/>
        <family val="2"/>
        <scheme val="minor"/>
      </rPr>
      <t xml:space="preserve"> (LSERD)</t>
    </r>
    <r>
      <rPr>
        <b/>
        <vertAlign val="superscript"/>
        <sz val="11"/>
        <color rgb="FF000000"/>
        <rFont val="Aptos Narrow"/>
        <family val="2"/>
        <scheme val="minor"/>
      </rPr>
      <t xml:space="preserve">1 </t>
    </r>
  </si>
  <si>
    <r>
      <t xml:space="preserve">log </t>
    </r>
    <r>
      <rPr>
        <b/>
        <i/>
        <sz val="11"/>
        <color indexed="8"/>
        <rFont val="Aptos Narrow"/>
        <family val="2"/>
        <scheme val="minor"/>
      </rPr>
      <t>D</t>
    </r>
    <r>
      <rPr>
        <b/>
        <vertAlign val="subscript"/>
        <sz val="11"/>
        <color indexed="8"/>
        <rFont val="Aptos Narrow"/>
        <family val="2"/>
        <scheme val="minor"/>
      </rPr>
      <t>lipw</t>
    </r>
    <r>
      <rPr>
        <b/>
        <sz val="11"/>
        <color indexed="8"/>
        <rFont val="Aptos Narrow"/>
        <family val="2"/>
        <scheme val="minor"/>
      </rPr>
      <t xml:space="preserve"> (pH 7.4)</t>
    </r>
    <r>
      <rPr>
        <b/>
        <vertAlign val="superscript"/>
        <sz val="11"/>
        <color rgb="FF000000"/>
        <rFont val="Aptos Narrow"/>
        <family val="2"/>
        <scheme val="minor"/>
      </rPr>
      <t xml:space="preserve">2 </t>
    </r>
  </si>
  <si>
    <t>Lee J, Braun G, Henneberger L, König M, Schlichting R, Scholz S, Escher BI. 2021. Critical Membrane Concentration and Mass-Balance Model to Identify Baseline Cytotoxicity of Hydrophobic and Ionizable Organic Chemicals in Mammalian Cell Lines. Chem Res Toxicol 34:2100-2109. DOI: 10.1021/acs.chemrestox.1c00182.</t>
  </si>
  <si>
    <t>ACD pKa/GALAS:  ACD. 2015. Build 2726, Advanced Chemistry Development, Inc., Toronto, On, Canada, http://www.acdlabs.com. </t>
  </si>
  <si>
    <r>
      <t xml:space="preserve">Endo S, Escher BI, Goss KU. 2011. Capacities of Membrane Lipids to Accumulate Neutral Organic Chemicals. </t>
    </r>
    <r>
      <rPr>
        <i/>
        <sz val="12"/>
        <color theme="1"/>
        <rFont val="Aptos Narrow"/>
        <family val="2"/>
        <scheme val="minor"/>
      </rPr>
      <t>Environ Sci Technol</t>
    </r>
    <r>
      <rPr>
        <sz val="12"/>
        <color theme="1"/>
        <rFont val="Aptos Narrow"/>
        <family val="2"/>
        <scheme val="minor"/>
      </rPr>
      <t xml:space="preserve"> 45:5912-5921. DOI: 10.1021/es200855w.</t>
    </r>
  </si>
  <si>
    <t>LSERD: Ulrich, N., Endo, S., Brown, T.N., Watanabe, N., Bronner, G., Abraham, M.H., Goss, K.-U., UFZ-LSER database v 3.2.1 [Internet], Leipzig, Germany, Helmholtz Centre for Environmental Research-UFZ. 2017 [accessed in September 2025]. Available from http://www.ufz.de/lserd</t>
  </si>
  <si>
    <t>Chemicalize was used for pKa prediction, accessed in September 2025, https://chemicalize.com/, developed by ChemAxon</t>
  </si>
  <si>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Derived according to Lee et al. (2021) - priority: (1) Experimental log</t>
    </r>
    <r>
      <rPr>
        <i/>
        <sz val="11"/>
        <color theme="1"/>
        <rFont val="Aptos Narrow"/>
        <family val="2"/>
        <scheme val="minor"/>
      </rPr>
      <t>D</t>
    </r>
    <r>
      <rPr>
        <vertAlign val="subscript"/>
        <sz val="11"/>
        <color theme="1"/>
        <rFont val="Aptos Narrow"/>
        <family val="2"/>
        <scheme val="minor"/>
      </rPr>
      <t>lipw</t>
    </r>
    <r>
      <rPr>
        <sz val="11"/>
        <color theme="1"/>
        <rFont val="Aptos Narrow"/>
        <family val="2"/>
        <scheme val="minor"/>
      </rPr>
      <t>(pH 7.4) values, 
(2) Calculation with LSERD when experimental descriptors for LSERD calculation available, 
(3) Prediction with logK</t>
    </r>
    <r>
      <rPr>
        <vertAlign val="subscript"/>
        <sz val="11"/>
        <color theme="1"/>
        <rFont val="Aptos Narrow"/>
        <family val="2"/>
        <scheme val="minor"/>
      </rPr>
      <t>ow</t>
    </r>
    <r>
      <rPr>
        <sz val="11"/>
        <color theme="1"/>
        <rFont val="Aptos Narrow"/>
        <family val="2"/>
        <scheme val="minor"/>
      </rPr>
      <t xml:space="preserve"> (K</t>
    </r>
    <r>
      <rPr>
        <vertAlign val="subscript"/>
        <sz val="11"/>
        <color theme="1"/>
        <rFont val="Aptos Narrow"/>
        <family val="2"/>
        <scheme val="minor"/>
      </rPr>
      <t>ow</t>
    </r>
    <r>
      <rPr>
        <sz val="11"/>
        <color theme="1"/>
        <rFont val="Aptos Narrow"/>
        <family val="2"/>
        <scheme val="minor"/>
      </rPr>
      <t xml:space="preserve"> QSAR) / When charged, (∆mw = 1) condition applied</t>
    </r>
  </si>
  <si>
    <r>
      <rPr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logK </t>
    </r>
    <r>
      <rPr>
        <vertAlign val="subscript"/>
        <sz val="11"/>
        <color theme="1"/>
        <rFont val="Aptos Narrow"/>
        <family val="2"/>
        <scheme val="minor"/>
      </rPr>
      <t>membrane-lipid/water</t>
    </r>
    <r>
      <rPr>
        <sz val="11"/>
        <color theme="1"/>
        <rFont val="Aptos Narrow"/>
        <family val="2"/>
        <scheme val="minor"/>
      </rPr>
      <t xml:space="preserve">  [L</t>
    </r>
    <r>
      <rPr>
        <vertAlign val="subscript"/>
        <sz val="11"/>
        <color theme="1"/>
        <rFont val="Aptos Narrow"/>
        <family val="2"/>
        <scheme val="minor"/>
      </rPr>
      <t>water</t>
    </r>
    <r>
      <rPr>
        <sz val="11"/>
        <color theme="1"/>
        <rFont val="Aptos Narrow"/>
        <family val="2"/>
        <scheme val="minor"/>
      </rPr>
      <t>/L</t>
    </r>
    <r>
      <rPr>
        <vertAlign val="subscript"/>
        <sz val="11"/>
        <color theme="1"/>
        <rFont val="Aptos Narrow"/>
        <family val="2"/>
        <scheme val="minor"/>
      </rPr>
      <t>membrane</t>
    </r>
    <r>
      <rPr>
        <sz val="11"/>
        <color theme="1"/>
        <rFont val="Aptos Narrow"/>
        <family val="2"/>
        <scheme val="minor"/>
      </rPr>
      <t>] from LSERD. Obtained only when experimental descriptors are available for calculation. Ref: Endo et al. (2011)</t>
    </r>
  </si>
  <si>
    <t>Neutral form 
(pH = 7.40)</t>
  </si>
  <si>
    <t>Negative form 
(pH = 7.40)</t>
  </si>
  <si>
    <t>Positive form 
(pH = 7.40)</t>
  </si>
  <si>
    <t>Zwitterionic form 
(pH = 7.40)</t>
  </si>
  <si>
    <t>Table. Physicochemical properties of 35 chemicals used in the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</si>
</sst>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vertAlign val="subscript"/>
      <sz val="11"/>
      <color theme="1"/>
      <name val="Calibri (Body)"/>
    </font>
    <font>
      <b/>
      <i/>
      <sz val="11"/>
      <color indexed="8"/>
      <name val="Aptos Narrow"/>
      <family val="2"/>
      <scheme val="minor"/>
    </font>
    <font>
      <b/>
      <vertAlign val="subscript"/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vertAlign val="subscript"/>
      <sz val="12"/>
      <color theme="1"/>
      <name val="Calibri (Body)"/>
    </font>
    <font>
      <b/>
      <sz val="11"/>
      <color theme="1"/>
      <name val="Calibri (Body)"/>
    </font>
    <font>
      <sz val="11"/>
      <color theme="1"/>
      <name val="Calibri (Body)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vertAlign val="superscript"/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5" fillId="0" borderId="0"/>
    <xf numFmtId="0" fontId="1" fillId="0" borderId="0"/>
  </cellStyleXfs>
  <cellXfs count="79">
    <xf numFmtId="0" fontId="0" fillId="0" borderId="0" xfId="0"/>
    <xf numFmtId="0" fontId="0" fillId="2" borderId="0" xfId="0" applyFill="1"/>
    <xf numFmtId="11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1" fontId="9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2" fontId="0" fillId="0" borderId="1" xfId="0" applyNumberFormat="1" applyBorder="1" applyProtection="1">
      <protection locked="0"/>
    </xf>
    <xf numFmtId="2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Protection="1">
      <protection locked="0"/>
    </xf>
    <xf numFmtId="0" fontId="0" fillId="0" borderId="1" xfId="1" applyFont="1" applyBorder="1" applyAlignment="1">
      <alignment horizontal="left" vertical="center"/>
    </xf>
    <xf numFmtId="164" fontId="0" fillId="0" borderId="1" xfId="0" applyNumberFormat="1" applyBorder="1" applyAlignment="1" applyProtection="1">
      <alignment horizontal="center"/>
      <protection locked="0"/>
    </xf>
    <xf numFmtId="0" fontId="0" fillId="0" borderId="1" xfId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0" fillId="0" borderId="1" xfId="0" applyBorder="1" applyProtection="1">
      <protection locked="0"/>
    </xf>
    <xf numFmtId="2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2" fillId="6" borderId="1" xfId="0" applyFont="1" applyFill="1" applyBorder="1" applyAlignment="1">
      <alignment horizontal="center" vertical="center" wrapText="1"/>
    </xf>
    <xf numFmtId="11" fontId="9" fillId="6" borderId="1" xfId="0" applyNumberFormat="1" applyFont="1" applyFill="1" applyBorder="1" applyAlignment="1">
      <alignment horizontal="center" vertical="center" wrapText="1"/>
    </xf>
    <xf numFmtId="0" fontId="0" fillId="6" borderId="0" xfId="0" applyFill="1"/>
    <xf numFmtId="11" fontId="9" fillId="6" borderId="3" xfId="0" applyNumberFormat="1" applyFont="1" applyFill="1" applyBorder="1" applyAlignment="1">
      <alignment horizontal="center" vertical="center" wrapText="1"/>
    </xf>
    <xf numFmtId="2" fontId="0" fillId="7" borderId="1" xfId="0" applyNumberFormat="1" applyFill="1" applyBorder="1" applyAlignment="1">
      <alignment horizontal="center"/>
    </xf>
    <xf numFmtId="11" fontId="0" fillId="7" borderId="1" xfId="0" applyNumberFormat="1" applyFill="1" applyBorder="1" applyAlignment="1">
      <alignment horizontal="center"/>
    </xf>
    <xf numFmtId="0" fontId="0" fillId="7" borderId="1" xfId="0" quotePrefix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0" xfId="0" applyFill="1"/>
    <xf numFmtId="0" fontId="0" fillId="7" borderId="1" xfId="0" applyFill="1" applyBorder="1" applyAlignment="1">
      <alignment horizontal="center" vertical="center"/>
    </xf>
    <xf numFmtId="0" fontId="0" fillId="7" borderId="0" xfId="0" applyFill="1"/>
    <xf numFmtId="0" fontId="0" fillId="5" borderId="0" xfId="0" applyFill="1"/>
    <xf numFmtId="0" fontId="0" fillId="3" borderId="0" xfId="0" applyFill="1"/>
    <xf numFmtId="164" fontId="0" fillId="3" borderId="1" xfId="0" applyNumberFormat="1" applyFill="1" applyBorder="1" applyAlignment="1">
      <alignment horizontal="center"/>
    </xf>
    <xf numFmtId="0" fontId="0" fillId="9" borderId="0" xfId="0" applyFill="1"/>
    <xf numFmtId="16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1" fontId="2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0" fillId="9" borderId="0" xfId="0" applyFill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Protection="1">
      <protection locked="0"/>
    </xf>
    <xf numFmtId="11" fontId="2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 vertical="center"/>
    </xf>
    <xf numFmtId="0" fontId="0" fillId="0" borderId="0" xfId="0" applyAlignment="1"/>
    <xf numFmtId="2" fontId="0" fillId="0" borderId="0" xfId="0" applyNumberFormat="1" applyAlignment="1">
      <alignment horizontal="center"/>
    </xf>
    <xf numFmtId="2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</cellXfs>
  <cellStyles count="4">
    <cellStyle name="Normal" xfId="0" builtinId="0"/>
    <cellStyle name="Normal 2" xfId="1" xr:uid="{CC6E105A-70D5-4D08-9765-6D3DAAC2616D}"/>
    <cellStyle name="Normal 2 2" xfId="3" xr:uid="{1953CF1C-4AA2-4CFD-A4BF-CC6CF4F27B31}"/>
    <cellStyle name="Normal 3" xfId="2" xr:uid="{0851F95F-5C8A-4E2F-9E4E-F1337871A301}"/>
  </cellStyles>
  <dxfs count="1">
    <dxf>
      <fill>
        <patternFill patternType="solid">
          <fgColor rgb="FFC1F0C8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257174</xdr:colOff>
      <xdr:row>31</xdr:row>
      <xdr:rowOff>142874</xdr:rowOff>
    </xdr:from>
    <xdr:to>
      <xdr:col>34</xdr:col>
      <xdr:colOff>342899</xdr:colOff>
      <xdr:row>43</xdr:row>
      <xdr:rowOff>132427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5EC790-E134-1695-B117-597DFBB46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92974" y="7629524"/>
          <a:ext cx="3324225" cy="21803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718A-F411-4A9D-AED4-9F1ADBA89289}">
  <dimension ref="A1:AR49"/>
  <sheetViews>
    <sheetView tabSelected="1" zoomScaleNormal="100" workbookViewId="0"/>
  </sheetViews>
  <sheetFormatPr defaultRowHeight="14.25"/>
  <cols>
    <col min="3" max="3" width="19.06640625" style="18" customWidth="1"/>
    <col min="5" max="5" width="13.33203125" customWidth="1"/>
    <col min="7" max="7" width="16.9296875" style="18" customWidth="1"/>
    <col min="8" max="8" width="9.06640625" style="18"/>
    <col min="10" max="11" width="10.53125" customWidth="1"/>
    <col min="12" max="12" width="10.53125" style="18" customWidth="1"/>
    <col min="13" max="13" width="11.59765625" customWidth="1"/>
    <col min="14" max="14" width="17.19921875" customWidth="1"/>
  </cols>
  <sheetData>
    <row r="1" spans="1:17" s="76" customFormat="1">
      <c r="A1" s="77" t="s">
        <v>263</v>
      </c>
      <c r="C1" s="78"/>
      <c r="G1" s="78"/>
      <c r="H1" s="78"/>
      <c r="L1" s="78"/>
    </row>
    <row r="2" spans="1:17" ht="42.75">
      <c r="A2" s="5" t="s">
        <v>246</v>
      </c>
      <c r="B2" s="5" t="s">
        <v>142</v>
      </c>
      <c r="C2" s="2" t="s">
        <v>36</v>
      </c>
      <c r="D2" s="2" t="s">
        <v>37</v>
      </c>
      <c r="E2" s="2" t="s">
        <v>38</v>
      </c>
      <c r="F2" s="3" t="s">
        <v>39</v>
      </c>
      <c r="G2" s="3" t="s">
        <v>40</v>
      </c>
      <c r="H2" s="2" t="s">
        <v>41</v>
      </c>
      <c r="I2" s="2" t="s">
        <v>42</v>
      </c>
      <c r="J2" s="2" t="s">
        <v>259</v>
      </c>
      <c r="K2" s="2" t="s">
        <v>260</v>
      </c>
      <c r="L2" s="2" t="s">
        <v>261</v>
      </c>
      <c r="M2" s="2" t="s">
        <v>262</v>
      </c>
      <c r="N2" s="3" t="s">
        <v>40</v>
      </c>
      <c r="O2" s="4" t="s">
        <v>250</v>
      </c>
      <c r="P2" s="63" t="s">
        <v>251</v>
      </c>
      <c r="Q2" s="4" t="s">
        <v>48</v>
      </c>
    </row>
    <row r="3" spans="1:17">
      <c r="A3" s="8" t="s">
        <v>245</v>
      </c>
      <c r="B3" s="8" t="s">
        <v>204</v>
      </c>
      <c r="C3" s="10" t="s">
        <v>5</v>
      </c>
      <c r="D3" s="9">
        <v>404.54700000000003</v>
      </c>
      <c r="E3" s="10" t="s">
        <v>131</v>
      </c>
      <c r="F3" s="11">
        <v>4.26</v>
      </c>
      <c r="G3" s="11" t="s">
        <v>57</v>
      </c>
      <c r="H3" s="10">
        <v>14.64</v>
      </c>
      <c r="I3" s="10"/>
      <c r="J3" s="10">
        <v>1</v>
      </c>
      <c r="K3" s="10">
        <v>0</v>
      </c>
      <c r="L3" s="10">
        <v>0</v>
      </c>
      <c r="M3" s="10">
        <v>0</v>
      </c>
      <c r="N3" s="10" t="s">
        <v>58</v>
      </c>
      <c r="O3" s="16">
        <v>3.77</v>
      </c>
      <c r="P3" s="64">
        <v>3.77</v>
      </c>
      <c r="Q3" s="61" t="s">
        <v>77</v>
      </c>
    </row>
    <row r="4" spans="1:17">
      <c r="A4" s="8" t="s">
        <v>245</v>
      </c>
      <c r="B4" s="8" t="s">
        <v>203</v>
      </c>
      <c r="C4" s="10" t="s">
        <v>9</v>
      </c>
      <c r="D4" s="9">
        <v>588.56200000000001</v>
      </c>
      <c r="E4" s="10" t="s">
        <v>134</v>
      </c>
      <c r="F4" s="11">
        <v>0.6</v>
      </c>
      <c r="G4" s="11" t="s">
        <v>57</v>
      </c>
      <c r="H4" s="10" t="s">
        <v>135</v>
      </c>
      <c r="I4" s="10"/>
      <c r="J4" s="10">
        <v>1</v>
      </c>
      <c r="K4" s="10">
        <v>0</v>
      </c>
      <c r="L4" s="10">
        <v>0</v>
      </c>
      <c r="M4" s="10">
        <v>0</v>
      </c>
      <c r="N4" s="10" t="s">
        <v>58</v>
      </c>
      <c r="O4" s="10" t="s">
        <v>205</v>
      </c>
      <c r="P4" s="58">
        <f>1.01*F4+0.12</f>
        <v>0.72599999999999998</v>
      </c>
      <c r="Q4" s="62" t="s">
        <v>66</v>
      </c>
    </row>
    <row r="5" spans="1:17" ht="16.5" customHeight="1">
      <c r="A5" s="8" t="s">
        <v>245</v>
      </c>
      <c r="B5" s="8" t="s">
        <v>143</v>
      </c>
      <c r="C5" s="10" t="s">
        <v>1</v>
      </c>
      <c r="D5" s="9">
        <v>507.62700000000001</v>
      </c>
      <c r="E5" s="10" t="s">
        <v>144</v>
      </c>
      <c r="F5" s="11">
        <v>3.29</v>
      </c>
      <c r="G5" s="11" t="s">
        <v>82</v>
      </c>
      <c r="H5" s="10" t="s">
        <v>217</v>
      </c>
      <c r="I5" s="15">
        <v>4.2</v>
      </c>
      <c r="J5" s="10">
        <v>1</v>
      </c>
      <c r="K5" s="10">
        <v>0</v>
      </c>
      <c r="L5" s="10">
        <v>0</v>
      </c>
      <c r="M5" s="10">
        <v>0</v>
      </c>
      <c r="N5" s="10" t="s">
        <v>208</v>
      </c>
      <c r="O5" s="10" t="s">
        <v>205</v>
      </c>
      <c r="P5" s="58">
        <f t="shared" ref="P5:P6" si="0">1.01*F5+0.12</f>
        <v>3.4429000000000003</v>
      </c>
      <c r="Q5" s="62" t="s">
        <v>66</v>
      </c>
    </row>
    <row r="6" spans="1:17" ht="15" customHeight="1">
      <c r="A6" s="8" t="s">
        <v>245</v>
      </c>
      <c r="B6" s="8" t="s">
        <v>147</v>
      </c>
      <c r="C6" s="10" t="s">
        <v>2</v>
      </c>
      <c r="D6" s="9">
        <v>395.51</v>
      </c>
      <c r="E6" s="10" t="s">
        <v>146</v>
      </c>
      <c r="F6" s="11">
        <v>3.04</v>
      </c>
      <c r="G6" s="11" t="s">
        <v>82</v>
      </c>
      <c r="H6" s="10" t="s">
        <v>218</v>
      </c>
      <c r="I6" s="10"/>
      <c r="J6" s="10">
        <v>1</v>
      </c>
      <c r="K6" s="10">
        <v>0</v>
      </c>
      <c r="L6" s="10">
        <v>0</v>
      </c>
      <c r="M6" s="10">
        <v>0</v>
      </c>
      <c r="N6" s="10" t="s">
        <v>208</v>
      </c>
      <c r="O6" s="10" t="s">
        <v>205</v>
      </c>
      <c r="P6" s="58">
        <f t="shared" si="0"/>
        <v>3.1904000000000003</v>
      </c>
      <c r="Q6" s="62" t="s">
        <v>66</v>
      </c>
    </row>
    <row r="7" spans="1:17">
      <c r="A7" s="8" t="s">
        <v>245</v>
      </c>
      <c r="B7" s="8" t="s">
        <v>194</v>
      </c>
      <c r="C7" s="10" t="s">
        <v>4</v>
      </c>
      <c r="D7" s="9">
        <v>509.51799999999997</v>
      </c>
      <c r="E7" s="10" t="s">
        <v>205</v>
      </c>
      <c r="F7" s="11">
        <v>2.871</v>
      </c>
      <c r="G7" s="10" t="s">
        <v>208</v>
      </c>
      <c r="H7" s="10" t="s">
        <v>207</v>
      </c>
      <c r="I7" s="15" t="s">
        <v>206</v>
      </c>
      <c r="J7" s="13">
        <v>0.04</v>
      </c>
      <c r="K7" s="10">
        <v>0</v>
      </c>
      <c r="L7" s="10">
        <v>0.96</v>
      </c>
      <c r="M7" s="10">
        <v>0</v>
      </c>
      <c r="N7" s="10" t="s">
        <v>208</v>
      </c>
      <c r="O7" s="10" t="s">
        <v>205</v>
      </c>
      <c r="P7" s="58">
        <f>LOG(J7*10^(1.01*F7+0.12)+(1-J7)*10^(1.01*F7+0.12)/10)</f>
        <v>2.1532489083702182</v>
      </c>
      <c r="Q7" s="62" t="s">
        <v>59</v>
      </c>
    </row>
    <row r="8" spans="1:17">
      <c r="A8" s="8" t="s">
        <v>245</v>
      </c>
      <c r="B8" s="8" t="s">
        <v>149</v>
      </c>
      <c r="C8" s="10" t="s">
        <v>7</v>
      </c>
      <c r="D8" s="9">
        <v>304.20999999999998</v>
      </c>
      <c r="E8" s="10" t="s">
        <v>148</v>
      </c>
      <c r="F8" s="11">
        <v>1.7</v>
      </c>
      <c r="G8" s="11" t="s">
        <v>57</v>
      </c>
      <c r="H8" s="10">
        <v>4.46</v>
      </c>
      <c r="I8" s="10">
        <v>1.72</v>
      </c>
      <c r="J8" s="10">
        <v>0</v>
      </c>
      <c r="K8" s="10">
        <v>1</v>
      </c>
      <c r="L8" s="10">
        <v>0</v>
      </c>
      <c r="M8" s="10">
        <v>0</v>
      </c>
      <c r="N8" s="10" t="s">
        <v>208</v>
      </c>
      <c r="O8" s="16">
        <v>3.78</v>
      </c>
      <c r="P8" s="65">
        <f>LOG(J8*10^(3.78)+(1-J8)*10^(3.78-1))</f>
        <v>2.78</v>
      </c>
      <c r="Q8" s="61" t="s">
        <v>76</v>
      </c>
    </row>
    <row r="9" spans="1:17">
      <c r="A9" s="8" t="s">
        <v>245</v>
      </c>
      <c r="B9" s="8" t="s">
        <v>150</v>
      </c>
      <c r="C9" s="10" t="s">
        <v>10</v>
      </c>
      <c r="D9" s="9">
        <v>334.33199999999999</v>
      </c>
      <c r="E9" s="10" t="s">
        <v>151</v>
      </c>
      <c r="F9" s="11">
        <v>-0.4</v>
      </c>
      <c r="G9" s="11" t="s">
        <v>57</v>
      </c>
      <c r="H9" s="10">
        <v>14.97</v>
      </c>
      <c r="I9" s="10">
        <v>6.36</v>
      </c>
      <c r="J9" s="13">
        <v>0.92</v>
      </c>
      <c r="K9" s="10">
        <v>0</v>
      </c>
      <c r="L9" s="10">
        <v>0.08</v>
      </c>
      <c r="M9" s="10">
        <v>0</v>
      </c>
      <c r="N9" s="10" t="s">
        <v>208</v>
      </c>
      <c r="O9" s="10" t="s">
        <v>205</v>
      </c>
      <c r="P9" s="58">
        <f>LOG(J9*10^(1.01*F9+0.12)+(1-J9)*10^(1.01*F9+0.12)/10)</f>
        <v>-0.31645202378113796</v>
      </c>
      <c r="Q9" s="62" t="s">
        <v>59</v>
      </c>
    </row>
    <row r="10" spans="1:17" ht="15.85" customHeight="1">
      <c r="A10" s="8" t="s">
        <v>245</v>
      </c>
      <c r="B10" s="8" t="s">
        <v>153</v>
      </c>
      <c r="C10" s="10" t="s">
        <v>11</v>
      </c>
      <c r="D10" s="9">
        <v>348.358</v>
      </c>
      <c r="E10" s="10" t="s">
        <v>152</v>
      </c>
      <c r="F10" s="11">
        <v>1.74</v>
      </c>
      <c r="G10" s="11" t="s">
        <v>57</v>
      </c>
      <c r="H10" s="10">
        <v>11.71</v>
      </c>
      <c r="I10" s="10" t="s">
        <v>234</v>
      </c>
      <c r="J10" s="10">
        <v>1</v>
      </c>
      <c r="K10" s="10">
        <v>0</v>
      </c>
      <c r="L10" s="10">
        <v>0</v>
      </c>
      <c r="M10" s="10">
        <v>0</v>
      </c>
      <c r="N10" s="10" t="s">
        <v>208</v>
      </c>
      <c r="O10" s="10" t="s">
        <v>205</v>
      </c>
      <c r="P10" s="58">
        <f t="shared" ref="P10" si="1">1.01*F10+0.12</f>
        <v>1.8774000000000002</v>
      </c>
      <c r="Q10" s="62" t="s">
        <v>66</v>
      </c>
    </row>
    <row r="11" spans="1:17" ht="15.85" customHeight="1">
      <c r="A11" s="8" t="s">
        <v>245</v>
      </c>
      <c r="B11" s="8" t="s">
        <v>155</v>
      </c>
      <c r="C11" s="10" t="s">
        <v>12</v>
      </c>
      <c r="D11" s="9">
        <v>246.19399999999999</v>
      </c>
      <c r="E11" s="10" t="s">
        <v>154</v>
      </c>
      <c r="F11" s="11" t="s">
        <v>156</v>
      </c>
      <c r="G11" s="11" t="s">
        <v>57</v>
      </c>
      <c r="H11" s="10" t="s">
        <v>235</v>
      </c>
      <c r="I11" s="10">
        <v>-1.17</v>
      </c>
      <c r="J11" s="13">
        <v>0.46</v>
      </c>
      <c r="K11" s="10">
        <v>0.54</v>
      </c>
      <c r="L11" s="10">
        <v>0</v>
      </c>
      <c r="M11" s="10">
        <v>0</v>
      </c>
      <c r="N11" s="10" t="s">
        <v>208</v>
      </c>
      <c r="O11" s="10" t="s">
        <v>205</v>
      </c>
      <c r="P11" s="58">
        <v>-1</v>
      </c>
      <c r="Q11" s="62" t="s">
        <v>141</v>
      </c>
    </row>
    <row r="12" spans="1:17">
      <c r="A12" s="8" t="s">
        <v>245</v>
      </c>
      <c r="B12" s="8" t="s">
        <v>158</v>
      </c>
      <c r="C12" s="10" t="s">
        <v>14</v>
      </c>
      <c r="D12" s="9">
        <v>444.488</v>
      </c>
      <c r="E12" s="10" t="s">
        <v>157</v>
      </c>
      <c r="F12" s="11">
        <v>0.27</v>
      </c>
      <c r="G12" s="11" t="s">
        <v>82</v>
      </c>
      <c r="H12" s="10" t="s">
        <v>236</v>
      </c>
      <c r="I12" s="10" t="s">
        <v>237</v>
      </c>
      <c r="J12" s="10">
        <v>0</v>
      </c>
      <c r="K12" s="10">
        <v>0</v>
      </c>
      <c r="L12" s="10">
        <v>1</v>
      </c>
      <c r="M12" s="10">
        <v>0</v>
      </c>
      <c r="N12" s="10" t="s">
        <v>208</v>
      </c>
      <c r="O12" s="16">
        <v>1.02</v>
      </c>
      <c r="P12" s="65">
        <f>LOG(J12*10^(1.02)+(1-J12)*10^(1.02-1))</f>
        <v>2.0000000000000032E-2</v>
      </c>
      <c r="Q12" s="61" t="s">
        <v>76</v>
      </c>
    </row>
    <row r="13" spans="1:17">
      <c r="A13" s="8" t="s">
        <v>245</v>
      </c>
      <c r="B13" s="8" t="s">
        <v>195</v>
      </c>
      <c r="C13" s="10" t="s">
        <v>15</v>
      </c>
      <c r="D13" s="9">
        <v>474.62</v>
      </c>
      <c r="E13" s="10" t="s">
        <v>205</v>
      </c>
      <c r="F13" s="11">
        <v>4.4749999999999996</v>
      </c>
      <c r="G13" s="10" t="s">
        <v>208</v>
      </c>
      <c r="H13" s="15"/>
      <c r="I13" s="10" t="s">
        <v>209</v>
      </c>
      <c r="J13" s="10">
        <v>0</v>
      </c>
      <c r="K13" s="10">
        <v>0</v>
      </c>
      <c r="L13" s="10">
        <v>1</v>
      </c>
      <c r="M13" s="10">
        <v>0</v>
      </c>
      <c r="N13" s="10" t="s">
        <v>208</v>
      </c>
      <c r="O13" s="10" t="s">
        <v>205</v>
      </c>
      <c r="P13" s="58">
        <f>LOG(J13*10^(1.01*F13+0.12)+(1-J13)*10^(1.01*F13+0.12)/10)</f>
        <v>3.6397499999999994</v>
      </c>
      <c r="Q13" s="62" t="s">
        <v>59</v>
      </c>
    </row>
    <row r="14" spans="1:17">
      <c r="A14" s="8" t="s">
        <v>245</v>
      </c>
      <c r="B14" s="8" t="s">
        <v>196</v>
      </c>
      <c r="C14" s="10" t="s">
        <v>16</v>
      </c>
      <c r="D14" s="9">
        <v>301.77999999999997</v>
      </c>
      <c r="E14" s="10" t="s">
        <v>199</v>
      </c>
      <c r="F14" s="11">
        <v>2.73</v>
      </c>
      <c r="G14" s="11" t="s">
        <v>82</v>
      </c>
      <c r="H14" s="10"/>
      <c r="I14" s="10">
        <v>4.8099999999999996</v>
      </c>
      <c r="J14" s="10">
        <v>1</v>
      </c>
      <c r="K14" s="10">
        <v>0</v>
      </c>
      <c r="L14" s="10">
        <v>0</v>
      </c>
      <c r="M14" s="10">
        <v>0</v>
      </c>
      <c r="N14" s="10" t="s">
        <v>208</v>
      </c>
      <c r="O14" s="10" t="s">
        <v>205</v>
      </c>
      <c r="P14" s="58">
        <f t="shared" ref="P14" si="2">1.01*F14+0.12</f>
        <v>2.8773</v>
      </c>
      <c r="Q14" s="62" t="s">
        <v>66</v>
      </c>
    </row>
    <row r="15" spans="1:17">
      <c r="A15" s="8" t="s">
        <v>245</v>
      </c>
      <c r="B15" s="8" t="s">
        <v>160</v>
      </c>
      <c r="C15" s="10" t="s">
        <v>17</v>
      </c>
      <c r="D15" s="9">
        <v>293.28199999999998</v>
      </c>
      <c r="E15" s="10" t="s">
        <v>159</v>
      </c>
      <c r="F15" s="11">
        <v>3.64</v>
      </c>
      <c r="G15" s="11" t="s">
        <v>82</v>
      </c>
      <c r="H15" s="10" t="s">
        <v>219</v>
      </c>
      <c r="I15" s="10"/>
      <c r="J15" s="10">
        <v>0</v>
      </c>
      <c r="K15" s="10">
        <v>0</v>
      </c>
      <c r="L15" s="10">
        <v>0</v>
      </c>
      <c r="M15" s="10">
        <v>1</v>
      </c>
      <c r="N15" s="10" t="s">
        <v>208</v>
      </c>
      <c r="O15" s="10" t="s">
        <v>205</v>
      </c>
      <c r="P15" s="58">
        <f t="shared" ref="P15:P19" si="3">LOG(J15*10^(1.01*F15+0.12)+(1-J15)*10^(1.01*F15+0.12)/10)</f>
        <v>2.7964000000000011</v>
      </c>
      <c r="Q15" s="62" t="s">
        <v>59</v>
      </c>
    </row>
    <row r="16" spans="1:17">
      <c r="A16" s="8" t="s">
        <v>245</v>
      </c>
      <c r="B16" s="8" t="s">
        <v>197</v>
      </c>
      <c r="C16" s="10" t="s">
        <v>19</v>
      </c>
      <c r="D16" s="9">
        <v>360.34800000000001</v>
      </c>
      <c r="E16" s="10" t="s">
        <v>200</v>
      </c>
      <c r="F16" s="11">
        <v>3.86</v>
      </c>
      <c r="G16" s="11" t="s">
        <v>82</v>
      </c>
      <c r="H16" s="10">
        <v>11.75</v>
      </c>
      <c r="I16" s="10" t="s">
        <v>220</v>
      </c>
      <c r="J16" s="10">
        <v>0</v>
      </c>
      <c r="K16" s="10">
        <v>0</v>
      </c>
      <c r="L16" s="10">
        <v>0</v>
      </c>
      <c r="M16" s="10">
        <v>1</v>
      </c>
      <c r="N16" s="10" t="s">
        <v>208</v>
      </c>
      <c r="O16" s="10" t="s">
        <v>205</v>
      </c>
      <c r="P16" s="58">
        <f t="shared" si="3"/>
        <v>3.0186000000000006</v>
      </c>
      <c r="Q16" s="62" t="s">
        <v>59</v>
      </c>
    </row>
    <row r="17" spans="1:17">
      <c r="A17" s="8" t="s">
        <v>245</v>
      </c>
      <c r="B17" s="8" t="s">
        <v>162</v>
      </c>
      <c r="C17" s="10" t="s">
        <v>21</v>
      </c>
      <c r="D17" s="9">
        <v>371.43299999999999</v>
      </c>
      <c r="E17" s="10" t="s">
        <v>161</v>
      </c>
      <c r="F17" s="11">
        <v>1.37</v>
      </c>
      <c r="G17" s="11" t="s">
        <v>57</v>
      </c>
      <c r="H17" s="10"/>
      <c r="I17" s="10">
        <v>9.6999999999999993</v>
      </c>
      <c r="J17" s="10">
        <v>0.01</v>
      </c>
      <c r="K17" s="10">
        <v>0</v>
      </c>
      <c r="L17" s="10">
        <v>0.99</v>
      </c>
      <c r="M17" s="10">
        <v>0</v>
      </c>
      <c r="N17" s="10" t="s">
        <v>208</v>
      </c>
      <c r="O17" s="10" t="s">
        <v>205</v>
      </c>
      <c r="P17" s="58">
        <f t="shared" si="3"/>
        <v>0.54112649794062417</v>
      </c>
      <c r="Q17" s="62" t="s">
        <v>59</v>
      </c>
    </row>
    <row r="18" spans="1:17">
      <c r="A18" s="8" t="s">
        <v>245</v>
      </c>
      <c r="B18" s="8" t="s">
        <v>163</v>
      </c>
      <c r="C18" s="10" t="s">
        <v>22</v>
      </c>
      <c r="D18" s="9">
        <v>301.32</v>
      </c>
      <c r="E18" s="10" t="s">
        <v>164</v>
      </c>
      <c r="F18" s="11">
        <v>1.6</v>
      </c>
      <c r="G18" s="11" t="s">
        <v>82</v>
      </c>
      <c r="H18" s="10" t="s">
        <v>221</v>
      </c>
      <c r="I18" s="10" t="s">
        <v>222</v>
      </c>
      <c r="J18" s="10">
        <v>0.98</v>
      </c>
      <c r="K18" s="10">
        <v>0.02</v>
      </c>
      <c r="L18" s="10">
        <v>0</v>
      </c>
      <c r="M18" s="10">
        <v>0</v>
      </c>
      <c r="N18" s="10" t="s">
        <v>208</v>
      </c>
      <c r="O18" s="10" t="s">
        <v>205</v>
      </c>
      <c r="P18" s="58">
        <f t="shared" si="3"/>
        <v>1.7281114877869501</v>
      </c>
      <c r="Q18" s="62" t="s">
        <v>59</v>
      </c>
    </row>
    <row r="19" spans="1:17">
      <c r="A19" s="8" t="s">
        <v>245</v>
      </c>
      <c r="B19" s="8" t="s">
        <v>168</v>
      </c>
      <c r="C19" s="10" t="s">
        <v>23</v>
      </c>
      <c r="D19" s="9">
        <v>824.97199999999998</v>
      </c>
      <c r="E19" s="10" t="s">
        <v>165</v>
      </c>
      <c r="F19" s="11">
        <v>3.33</v>
      </c>
      <c r="G19" s="11" t="s">
        <v>82</v>
      </c>
      <c r="H19" s="10" t="s">
        <v>223</v>
      </c>
      <c r="I19" s="10" t="s">
        <v>224</v>
      </c>
      <c r="J19" s="10">
        <v>0.03</v>
      </c>
      <c r="K19" s="10">
        <v>0</v>
      </c>
      <c r="L19" s="10">
        <v>0.97</v>
      </c>
      <c r="M19" s="10">
        <v>0</v>
      </c>
      <c r="N19" s="10" t="s">
        <v>208</v>
      </c>
      <c r="O19" s="10" t="s">
        <v>205</v>
      </c>
      <c r="P19" s="58">
        <f t="shared" si="3"/>
        <v>2.5871037209559571</v>
      </c>
      <c r="Q19" s="62" t="s">
        <v>59</v>
      </c>
    </row>
    <row r="20" spans="1:17">
      <c r="A20" s="8" t="s">
        <v>245</v>
      </c>
      <c r="B20" s="8" t="s">
        <v>167</v>
      </c>
      <c r="C20" s="10" t="s">
        <v>24</v>
      </c>
      <c r="D20" s="9">
        <v>807.89</v>
      </c>
      <c r="E20" s="10" t="s">
        <v>166</v>
      </c>
      <c r="F20" s="11">
        <v>2.21</v>
      </c>
      <c r="G20" s="11" t="s">
        <v>82</v>
      </c>
      <c r="H20" s="10" t="s">
        <v>225</v>
      </c>
      <c r="I20" s="10"/>
      <c r="J20" s="10">
        <v>1</v>
      </c>
      <c r="K20" s="10">
        <v>0</v>
      </c>
      <c r="L20" s="10">
        <v>0</v>
      </c>
      <c r="M20" s="10">
        <v>0</v>
      </c>
      <c r="N20" s="10" t="s">
        <v>208</v>
      </c>
      <c r="O20" s="10" t="s">
        <v>205</v>
      </c>
      <c r="P20" s="58">
        <f t="shared" ref="P20:P21" si="4">1.01*F20+0.12</f>
        <v>2.3521000000000001</v>
      </c>
      <c r="Q20" s="62" t="s">
        <v>66</v>
      </c>
    </row>
    <row r="21" spans="1:17">
      <c r="A21" s="8" t="s">
        <v>245</v>
      </c>
      <c r="B21" s="8" t="s">
        <v>170</v>
      </c>
      <c r="C21" s="10" t="s">
        <v>25</v>
      </c>
      <c r="D21" s="9">
        <v>507.69</v>
      </c>
      <c r="E21" s="10" t="s">
        <v>169</v>
      </c>
      <c r="F21" s="11">
        <v>3.79</v>
      </c>
      <c r="G21" s="11" t="s">
        <v>82</v>
      </c>
      <c r="H21" s="10" t="s">
        <v>226</v>
      </c>
      <c r="I21" s="10">
        <v>2.73</v>
      </c>
      <c r="J21" s="10">
        <v>1</v>
      </c>
      <c r="K21" s="10">
        <v>0</v>
      </c>
      <c r="L21" s="10">
        <v>0</v>
      </c>
      <c r="M21" s="10">
        <v>0</v>
      </c>
      <c r="N21" s="10" t="s">
        <v>208</v>
      </c>
      <c r="O21" s="10" t="s">
        <v>205</v>
      </c>
      <c r="P21" s="58">
        <f t="shared" si="4"/>
        <v>3.9479000000000002</v>
      </c>
      <c r="Q21" s="62" t="s">
        <v>66</v>
      </c>
    </row>
    <row r="22" spans="1:17">
      <c r="A22" s="8" t="s">
        <v>245</v>
      </c>
      <c r="B22" s="8" t="s">
        <v>172</v>
      </c>
      <c r="C22" s="10" t="s">
        <v>28</v>
      </c>
      <c r="D22" s="9">
        <v>376.42</v>
      </c>
      <c r="E22" s="10" t="s">
        <v>171</v>
      </c>
      <c r="F22" s="11">
        <v>-7.0000000000000007E-2</v>
      </c>
      <c r="G22" s="11" t="s">
        <v>82</v>
      </c>
      <c r="H22" s="10" t="s">
        <v>227</v>
      </c>
      <c r="I22" s="10" t="s">
        <v>228</v>
      </c>
      <c r="J22" s="10">
        <v>0</v>
      </c>
      <c r="K22" s="10">
        <v>1</v>
      </c>
      <c r="L22" s="10">
        <v>0</v>
      </c>
      <c r="M22" s="10">
        <v>0</v>
      </c>
      <c r="N22" s="10" t="s">
        <v>208</v>
      </c>
      <c r="O22" s="10" t="s">
        <v>205</v>
      </c>
      <c r="P22" s="58">
        <f>LOG(J22*10^(1.01*F22+0.12)+(1-J22)*10^(1.01*F22+0.12)/10)</f>
        <v>-0.95069999999999999</v>
      </c>
      <c r="Q22" s="62" t="s">
        <v>59</v>
      </c>
    </row>
    <row r="23" spans="1:17">
      <c r="A23" s="8" t="s">
        <v>245</v>
      </c>
      <c r="B23" s="8" t="s">
        <v>174</v>
      </c>
      <c r="C23" s="10" t="s">
        <v>30</v>
      </c>
      <c r="D23" s="9">
        <v>618.77200000000005</v>
      </c>
      <c r="E23" s="10" t="s">
        <v>173</v>
      </c>
      <c r="F23" s="11">
        <v>3.2490000000000001</v>
      </c>
      <c r="G23" s="10" t="s">
        <v>208</v>
      </c>
      <c r="H23" s="10" t="s">
        <v>212</v>
      </c>
      <c r="I23" s="10" t="s">
        <v>211</v>
      </c>
      <c r="J23" s="10">
        <v>1</v>
      </c>
      <c r="K23" s="10">
        <v>0</v>
      </c>
      <c r="L23" s="10">
        <v>0</v>
      </c>
      <c r="M23" s="10">
        <v>0</v>
      </c>
      <c r="N23" s="10" t="s">
        <v>208</v>
      </c>
      <c r="O23" s="10" t="s">
        <v>205</v>
      </c>
      <c r="P23" s="58">
        <f t="shared" ref="P23" si="5">1.01*F23+0.12</f>
        <v>3.4014900000000003</v>
      </c>
      <c r="Q23" s="62" t="s">
        <v>66</v>
      </c>
    </row>
    <row r="24" spans="1:17">
      <c r="A24" s="8" t="s">
        <v>245</v>
      </c>
      <c r="B24" s="8" t="s">
        <v>178</v>
      </c>
      <c r="C24" s="10" t="s">
        <v>31</v>
      </c>
      <c r="D24" s="9">
        <v>265.30900000000003</v>
      </c>
      <c r="E24" s="10" t="s">
        <v>175</v>
      </c>
      <c r="F24" s="11">
        <v>1.1200000000000001</v>
      </c>
      <c r="G24" s="11" t="s">
        <v>82</v>
      </c>
      <c r="H24" s="10">
        <v>13.77</v>
      </c>
      <c r="I24" s="10">
        <v>8.2200000000000006</v>
      </c>
      <c r="J24" s="10">
        <v>0.13</v>
      </c>
      <c r="K24" s="10">
        <v>0</v>
      </c>
      <c r="L24" s="10">
        <v>0.87</v>
      </c>
      <c r="M24" s="10">
        <v>0</v>
      </c>
      <c r="N24" s="10" t="s">
        <v>208</v>
      </c>
      <c r="O24" s="10" t="s">
        <v>205</v>
      </c>
      <c r="P24" s="58">
        <f>LOG(J24*10^(1.01*F24+0.12)+(1-J24)*10^(1.01*F24+0.12)/10)</f>
        <v>0.58765973384852999</v>
      </c>
      <c r="Q24" s="62" t="s">
        <v>59</v>
      </c>
    </row>
    <row r="25" spans="1:17">
      <c r="A25" s="8" t="s">
        <v>245</v>
      </c>
      <c r="B25" s="8" t="s">
        <v>177</v>
      </c>
      <c r="C25" s="10" t="s">
        <v>32</v>
      </c>
      <c r="D25" s="9">
        <v>281.35199999999998</v>
      </c>
      <c r="E25" s="10" t="s">
        <v>176</v>
      </c>
      <c r="F25" s="11">
        <v>0.55000000000000004</v>
      </c>
      <c r="G25" s="11" t="s">
        <v>57</v>
      </c>
      <c r="H25" s="10">
        <v>11.8</v>
      </c>
      <c r="I25" s="15">
        <v>-0.51</v>
      </c>
      <c r="J25" s="10">
        <v>1</v>
      </c>
      <c r="K25" s="10">
        <v>0</v>
      </c>
      <c r="L25" s="10">
        <v>0</v>
      </c>
      <c r="M25" s="10">
        <v>0</v>
      </c>
      <c r="N25" s="10" t="s">
        <v>208</v>
      </c>
      <c r="O25" s="10" t="s">
        <v>205</v>
      </c>
      <c r="P25" s="58">
        <f t="shared" ref="P25" si="6">1.01*F25+0.12</f>
        <v>0.6755000000000001</v>
      </c>
      <c r="Q25" s="62" t="s">
        <v>66</v>
      </c>
    </row>
    <row r="26" spans="1:17">
      <c r="A26" s="8" t="s">
        <v>245</v>
      </c>
      <c r="B26" s="8" t="s">
        <v>180</v>
      </c>
      <c r="C26" s="10" t="s">
        <v>33</v>
      </c>
      <c r="D26" s="9">
        <v>480.649</v>
      </c>
      <c r="E26" s="10" t="s">
        <v>179</v>
      </c>
      <c r="F26" s="11">
        <v>4.07</v>
      </c>
      <c r="G26" s="11" t="s">
        <v>82</v>
      </c>
      <c r="H26" s="10"/>
      <c r="I26" s="10" t="s">
        <v>229</v>
      </c>
      <c r="J26" s="10">
        <v>0</v>
      </c>
      <c r="K26" s="10">
        <v>0</v>
      </c>
      <c r="L26" s="10">
        <v>1</v>
      </c>
      <c r="M26" s="10">
        <v>0</v>
      </c>
      <c r="N26" s="10" t="s">
        <v>208</v>
      </c>
      <c r="O26" s="10" t="s">
        <v>205</v>
      </c>
      <c r="P26" s="58">
        <f>LOG(J26*10^(1.01*F26+0.12)+(1-J26)*10^(1.01*F26+0.12)/10)</f>
        <v>3.230700000000001</v>
      </c>
      <c r="Q26" s="62" t="s">
        <v>59</v>
      </c>
    </row>
    <row r="27" spans="1:17">
      <c r="A27" s="8" t="s">
        <v>243</v>
      </c>
      <c r="B27" s="8" t="s">
        <v>202</v>
      </c>
      <c r="C27" s="10" t="s">
        <v>13</v>
      </c>
      <c r="D27" s="9">
        <v>454.447</v>
      </c>
      <c r="E27" s="10" t="s">
        <v>138</v>
      </c>
      <c r="F27" s="11">
        <v>-1.85</v>
      </c>
      <c r="G27" s="11" t="s">
        <v>57</v>
      </c>
      <c r="H27" s="10" t="s">
        <v>139</v>
      </c>
      <c r="I27" s="10" t="s">
        <v>140</v>
      </c>
      <c r="J27" s="10">
        <v>0</v>
      </c>
      <c r="K27" s="10">
        <v>1</v>
      </c>
      <c r="L27" s="10">
        <v>0</v>
      </c>
      <c r="M27" s="10">
        <v>0</v>
      </c>
      <c r="N27" s="10" t="s">
        <v>58</v>
      </c>
      <c r="O27" s="16">
        <v>-0.63</v>
      </c>
      <c r="P27" s="58">
        <v>-1</v>
      </c>
      <c r="Q27" s="62" t="s">
        <v>141</v>
      </c>
    </row>
    <row r="28" spans="1:17">
      <c r="A28" s="8" t="s">
        <v>243</v>
      </c>
      <c r="B28" s="8" t="s">
        <v>182</v>
      </c>
      <c r="C28" s="10" t="s">
        <v>0</v>
      </c>
      <c r="D28" s="9">
        <v>479.61700000000002</v>
      </c>
      <c r="E28" s="10" t="s">
        <v>181</v>
      </c>
      <c r="F28" s="11">
        <v>3.37</v>
      </c>
      <c r="G28" s="11" t="s">
        <v>57</v>
      </c>
      <c r="H28" s="10">
        <v>13.11</v>
      </c>
      <c r="I28" s="10">
        <v>3.5</v>
      </c>
      <c r="J28" s="10">
        <v>1</v>
      </c>
      <c r="K28" s="10">
        <v>0</v>
      </c>
      <c r="L28" s="10">
        <v>0</v>
      </c>
      <c r="M28" s="10">
        <v>0</v>
      </c>
      <c r="N28" s="10" t="s">
        <v>208</v>
      </c>
      <c r="O28" s="10" t="s">
        <v>205</v>
      </c>
      <c r="P28" s="58">
        <f t="shared" ref="P28" si="7">1.01*F28+0.12</f>
        <v>3.5237000000000003</v>
      </c>
      <c r="Q28" s="62" t="s">
        <v>66</v>
      </c>
    </row>
    <row r="29" spans="1:17">
      <c r="A29" s="8" t="s">
        <v>243</v>
      </c>
      <c r="B29" s="8" t="s">
        <v>194</v>
      </c>
      <c r="C29" s="10" t="s">
        <v>3</v>
      </c>
      <c r="D29" s="9">
        <v>509.51799999999997</v>
      </c>
      <c r="E29" s="10" t="s">
        <v>205</v>
      </c>
      <c r="F29" s="11">
        <v>2.871</v>
      </c>
      <c r="G29" s="10" t="s">
        <v>208</v>
      </c>
      <c r="H29" s="10" t="s">
        <v>207</v>
      </c>
      <c r="I29" s="10" t="s">
        <v>213</v>
      </c>
      <c r="J29" s="10">
        <v>0.04</v>
      </c>
      <c r="K29" s="10">
        <v>0</v>
      </c>
      <c r="L29" s="10">
        <v>0.96</v>
      </c>
      <c r="M29" s="10">
        <v>0</v>
      </c>
      <c r="N29" s="10" t="s">
        <v>208</v>
      </c>
      <c r="O29" s="10" t="s">
        <v>205</v>
      </c>
      <c r="P29" s="58">
        <f>LOG(J29*10^(1.01*F29+0.12)+(1-J29)*10^(1.01*F29+0.12)/10)</f>
        <v>2.1532489083702182</v>
      </c>
      <c r="Q29" s="62" t="s">
        <v>59</v>
      </c>
    </row>
    <row r="30" spans="1:17">
      <c r="A30" s="8" t="s">
        <v>243</v>
      </c>
      <c r="B30" s="8" t="s">
        <v>184</v>
      </c>
      <c r="C30" s="10" t="s">
        <v>6</v>
      </c>
      <c r="D30" s="9">
        <v>418.57400000000001</v>
      </c>
      <c r="E30" s="10" t="s">
        <v>183</v>
      </c>
      <c r="F30" s="11">
        <v>4.68</v>
      </c>
      <c r="G30" s="11" t="s">
        <v>57</v>
      </c>
      <c r="H30" s="10">
        <v>14.91</v>
      </c>
      <c r="I30" s="10"/>
      <c r="J30" s="10">
        <v>1</v>
      </c>
      <c r="K30" s="10">
        <v>0</v>
      </c>
      <c r="L30" s="10">
        <v>0</v>
      </c>
      <c r="M30" s="10">
        <v>0</v>
      </c>
      <c r="N30" s="10" t="s">
        <v>208</v>
      </c>
      <c r="O30" s="10" t="s">
        <v>205</v>
      </c>
      <c r="P30" s="58">
        <f t="shared" ref="P30" si="8">1.01*F30+0.12</f>
        <v>4.8468</v>
      </c>
      <c r="Q30" s="62" t="s">
        <v>66</v>
      </c>
    </row>
    <row r="31" spans="1:17">
      <c r="A31" s="8" t="s">
        <v>243</v>
      </c>
      <c r="B31" s="8" t="s">
        <v>186</v>
      </c>
      <c r="C31" s="10" t="s">
        <v>8</v>
      </c>
      <c r="D31" s="9">
        <v>298.02999999999997</v>
      </c>
      <c r="E31" s="10" t="s">
        <v>185</v>
      </c>
      <c r="F31" s="11">
        <v>4.68</v>
      </c>
      <c r="G31" s="11" t="s">
        <v>57</v>
      </c>
      <c r="H31" s="10"/>
      <c r="I31" s="10" t="s">
        <v>230</v>
      </c>
      <c r="J31" s="10">
        <v>0.94</v>
      </c>
      <c r="K31" s="10">
        <v>0</v>
      </c>
      <c r="L31" s="10">
        <v>0.06</v>
      </c>
      <c r="M31" s="10">
        <v>0</v>
      </c>
      <c r="N31" s="10" t="s">
        <v>208</v>
      </c>
      <c r="O31" s="10" t="s">
        <v>205</v>
      </c>
      <c r="P31" s="58">
        <f>LOG(J31*10^(1.01*F31+0.12)+(1-J31)*10^(1.01*F31+0.12)/10)</f>
        <v>4.8226911364017928</v>
      </c>
      <c r="Q31" s="62" t="s">
        <v>59</v>
      </c>
    </row>
    <row r="32" spans="1:17">
      <c r="A32" s="8" t="s">
        <v>243</v>
      </c>
      <c r="B32" s="8" t="s">
        <v>201</v>
      </c>
      <c r="C32" s="10" t="s">
        <v>18</v>
      </c>
      <c r="D32" s="9">
        <v>905</v>
      </c>
      <c r="E32" s="10" t="s">
        <v>187</v>
      </c>
      <c r="F32" s="11">
        <v>5.04</v>
      </c>
      <c r="G32" s="10" t="s">
        <v>208</v>
      </c>
      <c r="H32" s="10" t="s">
        <v>214</v>
      </c>
      <c r="I32" s="15" t="s">
        <v>210</v>
      </c>
      <c r="J32" s="10">
        <v>1</v>
      </c>
      <c r="K32" s="10">
        <v>0</v>
      </c>
      <c r="L32" s="10">
        <v>0</v>
      </c>
      <c r="M32" s="10">
        <v>0</v>
      </c>
      <c r="N32" s="10" t="s">
        <v>208</v>
      </c>
      <c r="O32" s="10" t="s">
        <v>205</v>
      </c>
      <c r="P32" s="58">
        <f t="shared" ref="P32:P36" si="9">1.01*F32+0.12</f>
        <v>5.2103999999999999</v>
      </c>
      <c r="Q32" s="62" t="s">
        <v>66</v>
      </c>
    </row>
    <row r="33" spans="1:25">
      <c r="A33" s="8" t="s">
        <v>243</v>
      </c>
      <c r="B33" s="8" t="s">
        <v>189</v>
      </c>
      <c r="C33" s="10" t="s">
        <v>20</v>
      </c>
      <c r="D33" s="9">
        <v>399.44299999999998</v>
      </c>
      <c r="E33" s="10" t="s">
        <v>188</v>
      </c>
      <c r="F33" s="11">
        <v>1.3</v>
      </c>
      <c r="G33" s="11" t="s">
        <v>57</v>
      </c>
      <c r="H33" s="10">
        <v>15.06</v>
      </c>
      <c r="I33" s="10">
        <v>0.8</v>
      </c>
      <c r="J33" s="10">
        <v>1</v>
      </c>
      <c r="K33" s="10">
        <v>0</v>
      </c>
      <c r="L33" s="10">
        <v>0</v>
      </c>
      <c r="M33" s="10">
        <v>0</v>
      </c>
      <c r="N33" s="10" t="s">
        <v>208</v>
      </c>
      <c r="O33" s="10" t="s">
        <v>205</v>
      </c>
      <c r="P33" s="58">
        <f t="shared" si="9"/>
        <v>1.4330000000000003</v>
      </c>
      <c r="Q33" s="62" t="s">
        <v>66</v>
      </c>
    </row>
    <row r="34" spans="1:25">
      <c r="A34" s="8" t="s">
        <v>243</v>
      </c>
      <c r="B34" s="8" t="s">
        <v>191</v>
      </c>
      <c r="C34" s="10" t="s">
        <v>26</v>
      </c>
      <c r="D34" s="9">
        <v>853.91800000000001</v>
      </c>
      <c r="E34" s="10" t="s">
        <v>190</v>
      </c>
      <c r="F34" s="11">
        <v>2.0099999999999998</v>
      </c>
      <c r="G34" s="11" t="s">
        <v>82</v>
      </c>
      <c r="H34" s="10" t="s">
        <v>231</v>
      </c>
      <c r="I34" s="10">
        <v>0.06</v>
      </c>
      <c r="J34" s="10">
        <v>1</v>
      </c>
      <c r="K34" s="10">
        <v>0</v>
      </c>
      <c r="L34" s="10">
        <v>0</v>
      </c>
      <c r="M34" s="10">
        <v>0</v>
      </c>
      <c r="N34" s="10" t="s">
        <v>208</v>
      </c>
      <c r="O34" s="10" t="s">
        <v>205</v>
      </c>
      <c r="P34" s="58">
        <f t="shared" si="9"/>
        <v>2.1501000000000001</v>
      </c>
      <c r="Q34" s="62" t="s">
        <v>66</v>
      </c>
    </row>
    <row r="35" spans="1:25">
      <c r="A35" s="8" t="s">
        <v>243</v>
      </c>
      <c r="B35" s="8" t="s">
        <v>198</v>
      </c>
      <c r="C35" s="10" t="s">
        <v>27</v>
      </c>
      <c r="D35" s="9">
        <v>383.53300000000002</v>
      </c>
      <c r="E35" s="10" t="s">
        <v>205</v>
      </c>
      <c r="F35" s="11">
        <v>1.9279999999999999</v>
      </c>
      <c r="G35" s="10" t="s">
        <v>208</v>
      </c>
      <c r="H35" s="10" t="s">
        <v>216</v>
      </c>
      <c r="I35" s="10" t="s">
        <v>215</v>
      </c>
      <c r="J35" s="10">
        <v>1</v>
      </c>
      <c r="K35" s="10">
        <v>0</v>
      </c>
      <c r="L35" s="10">
        <v>0</v>
      </c>
      <c r="M35" s="10">
        <v>0</v>
      </c>
      <c r="N35" s="10" t="s">
        <v>208</v>
      </c>
      <c r="O35" s="10" t="s">
        <v>205</v>
      </c>
      <c r="P35" s="58">
        <f t="shared" si="9"/>
        <v>2.0672799999999998</v>
      </c>
      <c r="Q35" s="62" t="s">
        <v>66</v>
      </c>
    </row>
    <row r="36" spans="1:25">
      <c r="A36" s="8" t="s">
        <v>243</v>
      </c>
      <c r="B36" s="8" t="s">
        <v>193</v>
      </c>
      <c r="C36" s="10" t="s">
        <v>29</v>
      </c>
      <c r="D36" s="9">
        <v>475.63</v>
      </c>
      <c r="E36" s="10" t="s">
        <v>192</v>
      </c>
      <c r="F36" s="11">
        <v>4.71</v>
      </c>
      <c r="G36" s="11" t="s">
        <v>82</v>
      </c>
      <c r="H36" s="10" t="s">
        <v>233</v>
      </c>
      <c r="I36" s="10" t="s">
        <v>232</v>
      </c>
      <c r="J36" s="10">
        <v>1</v>
      </c>
      <c r="K36" s="10">
        <v>0</v>
      </c>
      <c r="L36" s="10">
        <v>0</v>
      </c>
      <c r="M36" s="10">
        <v>0</v>
      </c>
      <c r="N36" s="10" t="s">
        <v>208</v>
      </c>
      <c r="O36" s="10" t="s">
        <v>205</v>
      </c>
      <c r="P36" s="58">
        <f t="shared" si="9"/>
        <v>4.8771000000000004</v>
      </c>
      <c r="Q36" s="62" t="s">
        <v>66</v>
      </c>
    </row>
    <row r="37" spans="1:25">
      <c r="A37" s="8" t="s">
        <v>244</v>
      </c>
      <c r="B37" s="8" t="s">
        <v>247</v>
      </c>
      <c r="C37" s="10" t="s">
        <v>34</v>
      </c>
      <c r="D37" s="9">
        <v>78.13</v>
      </c>
      <c r="E37" s="10" t="s">
        <v>248</v>
      </c>
      <c r="F37" s="10">
        <v>-1.35</v>
      </c>
      <c r="G37" s="11" t="s">
        <v>57</v>
      </c>
      <c r="H37" s="10"/>
      <c r="I37" s="8"/>
      <c r="J37" s="10">
        <v>1</v>
      </c>
      <c r="K37" s="10">
        <v>0</v>
      </c>
      <c r="L37" s="10">
        <v>0</v>
      </c>
      <c r="M37" s="10">
        <v>0</v>
      </c>
      <c r="N37" s="10" t="s">
        <v>208</v>
      </c>
      <c r="O37" s="10">
        <v>-1.75</v>
      </c>
      <c r="P37" s="57">
        <v>-1.75</v>
      </c>
      <c r="Q37" s="61" t="s">
        <v>77</v>
      </c>
    </row>
    <row r="39" spans="1:25">
      <c r="A39" t="s">
        <v>249</v>
      </c>
    </row>
    <row r="41" spans="1:25" ht="16.5">
      <c r="A41" s="66" t="s">
        <v>258</v>
      </c>
    </row>
    <row r="42" spans="1:25" ht="16.5">
      <c r="A42" s="66" t="s">
        <v>257</v>
      </c>
    </row>
    <row r="44" spans="1:25">
      <c r="A44" s="60" t="s">
        <v>239</v>
      </c>
    </row>
    <row r="45" spans="1:25">
      <c r="A45" s="76" t="s">
        <v>253</v>
      </c>
    </row>
    <row r="46" spans="1:25">
      <c r="A46" s="76" t="s">
        <v>256</v>
      </c>
      <c r="D46" s="18"/>
      <c r="E46" s="67"/>
      <c r="F46" s="68"/>
      <c r="I46" s="18"/>
      <c r="J46" s="18"/>
      <c r="K46" s="18"/>
      <c r="M46" s="18"/>
      <c r="N46" s="18"/>
      <c r="O46" s="18"/>
      <c r="P46" s="18"/>
      <c r="Q46" s="18"/>
      <c r="R46" s="69"/>
      <c r="S46" s="18"/>
      <c r="T46" s="69"/>
      <c r="U46" s="18"/>
      <c r="V46" s="69"/>
      <c r="W46" s="18"/>
      <c r="X46" s="18"/>
      <c r="Y46" s="18"/>
    </row>
    <row r="47" spans="1:25" ht="15.75">
      <c r="A47" s="76" t="s">
        <v>254</v>
      </c>
      <c r="D47" s="18"/>
      <c r="E47" s="67"/>
      <c r="F47" s="68"/>
      <c r="I47" s="18"/>
      <c r="J47" s="18"/>
      <c r="K47" s="18"/>
      <c r="M47" s="18"/>
      <c r="N47" s="18"/>
      <c r="O47" s="18"/>
      <c r="P47" s="18"/>
      <c r="Q47" s="18"/>
      <c r="R47" s="69"/>
      <c r="S47" s="18"/>
      <c r="T47" s="69"/>
      <c r="U47" s="18"/>
      <c r="V47" s="69"/>
      <c r="W47" s="18"/>
      <c r="X47" s="18"/>
      <c r="Y47" s="18"/>
    </row>
    <row r="48" spans="1:25">
      <c r="A48" s="76" t="s">
        <v>252</v>
      </c>
    </row>
    <row r="49" spans="1:44">
      <c r="A49" s="76" t="s">
        <v>255</v>
      </c>
      <c r="B49" s="70"/>
      <c r="C49" s="70"/>
      <c r="D49" s="71"/>
      <c r="E49" s="71"/>
      <c r="F49" s="71"/>
      <c r="G49" s="71"/>
      <c r="H49" s="74"/>
      <c r="I49" s="75"/>
      <c r="J49" s="73"/>
      <c r="K49" s="73"/>
      <c r="L49" s="73"/>
      <c r="M49" s="73"/>
      <c r="N49" s="73"/>
      <c r="O49" s="70"/>
      <c r="P49" s="70"/>
      <c r="Q49" s="70"/>
      <c r="R49" s="70"/>
      <c r="S49" s="70"/>
      <c r="T49" s="70"/>
      <c r="U49" s="70"/>
      <c r="V49" s="70"/>
      <c r="W49" s="71"/>
      <c r="X49" s="72"/>
      <c r="Y49" s="70"/>
      <c r="Z49" s="72"/>
      <c r="AA49" s="70"/>
      <c r="AB49" s="72"/>
      <c r="AC49" s="70"/>
      <c r="AD49" s="71"/>
      <c r="AE49" s="71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CBC0-EC7B-4178-8967-39F9DBC2C182}">
  <dimension ref="A2:A36"/>
  <sheetViews>
    <sheetView workbookViewId="0">
      <selection activeCell="E27" sqref="E27"/>
    </sheetView>
  </sheetViews>
  <sheetFormatPr defaultRowHeight="14.25"/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E1C5-6772-4E3E-A763-33A193955080}">
  <dimension ref="A1:AA72"/>
  <sheetViews>
    <sheetView topLeftCell="A18" zoomScaleNormal="100" workbookViewId="0">
      <selection activeCell="V72" sqref="V72"/>
    </sheetView>
  </sheetViews>
  <sheetFormatPr defaultRowHeight="14.25"/>
  <cols>
    <col min="4" max="4" width="13.33203125" customWidth="1"/>
    <col min="11" max="11" width="9.06640625" style="18"/>
  </cols>
  <sheetData>
    <row r="1" spans="1:27" s="6" customFormat="1" ht="99" customHeight="1">
      <c r="A1" s="2" t="s">
        <v>35</v>
      </c>
      <c r="B1" s="2" t="s">
        <v>36</v>
      </c>
      <c r="C1" s="2" t="s">
        <v>37</v>
      </c>
      <c r="D1" s="2" t="s">
        <v>38</v>
      </c>
      <c r="E1" s="3" t="s">
        <v>39</v>
      </c>
      <c r="F1" s="3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6" t="s">
        <v>40</v>
      </c>
      <c r="N1" s="26"/>
      <c r="O1" s="27" t="s">
        <v>47</v>
      </c>
      <c r="P1" s="27" t="s">
        <v>48</v>
      </c>
      <c r="Q1" s="4" t="s">
        <v>49</v>
      </c>
      <c r="R1" s="4" t="s">
        <v>48</v>
      </c>
      <c r="S1" s="4" t="s">
        <v>50</v>
      </c>
      <c r="T1" s="5" t="s">
        <v>48</v>
      </c>
      <c r="U1" s="4" t="s">
        <v>51</v>
      </c>
      <c r="V1" s="5" t="s">
        <v>48</v>
      </c>
      <c r="W1" s="4" t="s">
        <v>52</v>
      </c>
      <c r="X1" s="5" t="s">
        <v>48</v>
      </c>
      <c r="Y1" s="5" t="s">
        <v>53</v>
      </c>
      <c r="Z1" s="5" t="s">
        <v>48</v>
      </c>
      <c r="AA1" s="7"/>
    </row>
    <row r="2" spans="1:27" ht="17" customHeight="1">
      <c r="A2" s="8" t="s">
        <v>54</v>
      </c>
      <c r="B2" s="8" t="s">
        <v>55</v>
      </c>
      <c r="C2" s="9">
        <v>303.49</v>
      </c>
      <c r="D2" s="10" t="s">
        <v>56</v>
      </c>
      <c r="E2" s="11">
        <v>4.93</v>
      </c>
      <c r="F2" s="12" t="s">
        <v>57</v>
      </c>
      <c r="G2" s="10"/>
      <c r="H2" s="10">
        <v>7.33</v>
      </c>
      <c r="I2" s="10">
        <v>0.54</v>
      </c>
      <c r="J2" s="10">
        <v>0</v>
      </c>
      <c r="K2" s="10">
        <v>0.46</v>
      </c>
      <c r="L2" s="10">
        <v>0</v>
      </c>
      <c r="M2" s="28" t="s">
        <v>58</v>
      </c>
      <c r="N2" s="28"/>
      <c r="O2" s="29">
        <f>LOG(I2*10^(1.01*E2+0.12)+(1-I2)*10^(1.01*E2+0.12)/10)</f>
        <v>4.8671976160180908</v>
      </c>
      <c r="P2" s="29" t="s">
        <v>59</v>
      </c>
      <c r="Q2" s="13">
        <f>0.71*E2+0.42</f>
        <v>3.9202999999999997</v>
      </c>
      <c r="R2" s="13" t="s">
        <v>60</v>
      </c>
      <c r="S2" s="14">
        <v>2.9725243219054401E-5</v>
      </c>
      <c r="T2" s="15" t="s">
        <v>61</v>
      </c>
      <c r="U2" s="14" t="s">
        <v>62</v>
      </c>
      <c r="V2" s="15" t="s">
        <v>61</v>
      </c>
      <c r="W2" s="14" t="s">
        <v>62</v>
      </c>
      <c r="X2" s="15" t="s">
        <v>61</v>
      </c>
      <c r="Y2" s="10"/>
      <c r="Z2" s="10"/>
    </row>
    <row r="3" spans="1:27">
      <c r="A3" s="8" t="s">
        <v>63</v>
      </c>
      <c r="B3" s="8" t="s">
        <v>64</v>
      </c>
      <c r="C3" s="9">
        <v>135.126</v>
      </c>
      <c r="D3" s="10" t="s">
        <v>65</v>
      </c>
      <c r="E3" s="11">
        <v>0.69</v>
      </c>
      <c r="F3" s="12" t="s">
        <v>57</v>
      </c>
      <c r="G3" s="10"/>
      <c r="H3" s="10">
        <v>-1.28</v>
      </c>
      <c r="I3" s="10">
        <v>1</v>
      </c>
      <c r="J3" s="10">
        <v>0</v>
      </c>
      <c r="K3" s="10">
        <v>0</v>
      </c>
      <c r="L3" s="10">
        <v>0</v>
      </c>
      <c r="M3" s="28" t="s">
        <v>58</v>
      </c>
      <c r="N3" s="28"/>
      <c r="O3" s="29">
        <f>LOG(I3*10^(1.01*E3+0.12)+(1-I3)*10^(1.01*E3+0.12)/10)</f>
        <v>0.81689999999999996</v>
      </c>
      <c r="P3" s="29" t="s">
        <v>66</v>
      </c>
      <c r="Q3" s="13">
        <f>IF(E3&lt;2,1.31,0.71*E3+0.42)</f>
        <v>1.31</v>
      </c>
      <c r="R3" s="13" t="s">
        <v>67</v>
      </c>
      <c r="S3" s="14" t="s">
        <v>62</v>
      </c>
      <c r="T3" s="15" t="s">
        <v>61</v>
      </c>
      <c r="U3" s="14" t="s">
        <v>62</v>
      </c>
      <c r="V3" s="15" t="s">
        <v>61</v>
      </c>
      <c r="W3" s="14">
        <v>3.7660369294532571E-5</v>
      </c>
      <c r="X3" s="15" t="s">
        <v>61</v>
      </c>
      <c r="Y3" s="10"/>
      <c r="Z3" s="10"/>
    </row>
    <row r="4" spans="1:27">
      <c r="A4" s="8" t="s">
        <v>68</v>
      </c>
      <c r="B4" s="8" t="s">
        <v>69</v>
      </c>
      <c r="C4" s="9">
        <v>151.18</v>
      </c>
      <c r="D4" s="10" t="s">
        <v>70</v>
      </c>
      <c r="E4" s="11">
        <v>0.65270000000000028</v>
      </c>
      <c r="F4" s="12" t="s">
        <v>71</v>
      </c>
      <c r="G4" s="10">
        <v>14.8</v>
      </c>
      <c r="H4" s="10"/>
      <c r="I4" s="10">
        <v>1</v>
      </c>
      <c r="J4" s="10">
        <v>0</v>
      </c>
      <c r="K4" s="10">
        <v>0</v>
      </c>
      <c r="L4" s="10">
        <v>0</v>
      </c>
      <c r="M4" s="28" t="s">
        <v>58</v>
      </c>
      <c r="N4" s="28"/>
      <c r="O4" s="29">
        <v>1.6234603665493781</v>
      </c>
      <c r="P4" s="29" t="s">
        <v>72</v>
      </c>
      <c r="Q4" s="13">
        <f>IF(E4&lt;2,1.31,0.71*E4+0.42)</f>
        <v>1.31</v>
      </c>
      <c r="R4" s="13" t="s">
        <v>67</v>
      </c>
      <c r="S4" s="14">
        <v>2.0244302937463249E-5</v>
      </c>
      <c r="T4" s="15" t="s">
        <v>61</v>
      </c>
      <c r="U4" s="14">
        <v>7.5171838266253682E-5</v>
      </c>
      <c r="V4" s="15" t="s">
        <v>61</v>
      </c>
      <c r="W4" s="14">
        <v>3.4930895509656662E-5</v>
      </c>
      <c r="X4" s="15" t="s">
        <v>61</v>
      </c>
      <c r="Y4" s="10"/>
      <c r="Z4" s="10"/>
    </row>
    <row r="5" spans="1:27">
      <c r="A5" s="8" t="s">
        <v>73</v>
      </c>
      <c r="B5" s="8" t="s">
        <v>74</v>
      </c>
      <c r="C5" s="9">
        <v>119.127</v>
      </c>
      <c r="D5" s="10" t="s">
        <v>75</v>
      </c>
      <c r="E5" s="11">
        <v>1.44</v>
      </c>
      <c r="F5" s="12" t="s">
        <v>57</v>
      </c>
      <c r="G5" s="10">
        <v>8.5</v>
      </c>
      <c r="H5" s="10">
        <v>1.6</v>
      </c>
      <c r="I5" s="10">
        <v>0.92</v>
      </c>
      <c r="J5" s="10">
        <v>7.0000000000000007E-2</v>
      </c>
      <c r="K5" s="10">
        <v>0</v>
      </c>
      <c r="L5" s="10">
        <v>0.01</v>
      </c>
      <c r="M5" s="28" t="s">
        <v>58</v>
      </c>
      <c r="N5" s="28"/>
      <c r="O5" s="30">
        <f>LOG(I5*10^(1.51)+(1-I5)*10^(1.51-1))</f>
        <v>1.4775479762188621</v>
      </c>
      <c r="P5" s="28" t="s">
        <v>76</v>
      </c>
      <c r="Q5" s="16">
        <v>1.55</v>
      </c>
      <c r="R5" s="10" t="s">
        <v>77</v>
      </c>
      <c r="S5" s="14">
        <v>3.6805299963194702E-3</v>
      </c>
      <c r="T5" s="10" t="s">
        <v>78</v>
      </c>
      <c r="U5" s="14">
        <v>1.6840687100033681E-3</v>
      </c>
      <c r="V5" s="10" t="s">
        <v>78</v>
      </c>
      <c r="W5" s="14" t="s">
        <v>62</v>
      </c>
      <c r="X5" s="15" t="s">
        <v>61</v>
      </c>
      <c r="Y5" s="10"/>
      <c r="Z5" s="10"/>
    </row>
    <row r="6" spans="1:27">
      <c r="A6" s="8" t="s">
        <v>79</v>
      </c>
      <c r="B6" s="8" t="s">
        <v>80</v>
      </c>
      <c r="C6" s="9">
        <v>211.268</v>
      </c>
      <c r="D6" s="10" t="s">
        <v>81</v>
      </c>
      <c r="E6" s="13">
        <v>2.9670399999999999</v>
      </c>
      <c r="F6" s="12" t="s">
        <v>82</v>
      </c>
      <c r="G6" s="10"/>
      <c r="H6" s="10">
        <v>10.1</v>
      </c>
      <c r="I6" s="10">
        <v>0</v>
      </c>
      <c r="J6" s="10">
        <v>0</v>
      </c>
      <c r="K6" s="10">
        <v>1</v>
      </c>
      <c r="L6" s="10">
        <v>0</v>
      </c>
      <c r="M6" s="28" t="s">
        <v>58</v>
      </c>
      <c r="N6" s="28"/>
      <c r="O6" s="29">
        <f>LOG(I6*10^(1.01*E6+0.12)+(1-I6)*10^(1.01*E6+0.12)/10)</f>
        <v>2.1167104000000005</v>
      </c>
      <c r="P6" s="29" t="s">
        <v>59</v>
      </c>
      <c r="Q6" s="13">
        <f>IF(E6&lt;2,1.31,0.71*E6+0.42)</f>
        <v>2.5265983999999997</v>
      </c>
      <c r="R6" s="13" t="s">
        <v>60</v>
      </c>
      <c r="S6" s="14" t="s">
        <v>62</v>
      </c>
      <c r="T6" s="15" t="s">
        <v>61</v>
      </c>
      <c r="U6" s="14">
        <v>2.8331380770995487E-5</v>
      </c>
      <c r="V6" s="15" t="s">
        <v>61</v>
      </c>
      <c r="W6" s="14" t="s">
        <v>62</v>
      </c>
      <c r="X6" s="15" t="s">
        <v>61</v>
      </c>
      <c r="Y6" s="10"/>
      <c r="Z6" s="10"/>
    </row>
    <row r="7" spans="1:27">
      <c r="A7" s="8" t="s">
        <v>83</v>
      </c>
      <c r="B7" s="8" t="s">
        <v>84</v>
      </c>
      <c r="C7" s="9">
        <v>272.38799999999998</v>
      </c>
      <c r="D7" s="10" t="s">
        <v>85</v>
      </c>
      <c r="E7" s="13">
        <v>3.9075899999999999</v>
      </c>
      <c r="F7" s="12" t="s">
        <v>82</v>
      </c>
      <c r="G7" s="10">
        <v>10</v>
      </c>
      <c r="H7" s="10"/>
      <c r="I7" s="10">
        <v>1</v>
      </c>
      <c r="J7" s="10">
        <v>0</v>
      </c>
      <c r="K7" s="10">
        <v>0</v>
      </c>
      <c r="L7" s="10">
        <v>0</v>
      </c>
      <c r="M7" s="28" t="s">
        <v>58</v>
      </c>
      <c r="N7" s="28"/>
      <c r="O7" s="29">
        <f>1.01*E7+0.12</f>
        <v>4.0666658999999994</v>
      </c>
      <c r="P7" s="29" t="s">
        <v>66</v>
      </c>
      <c r="Q7" s="13">
        <f>0.71*E7+0.42</f>
        <v>3.1943888999999999</v>
      </c>
      <c r="R7" s="13" t="s">
        <v>60</v>
      </c>
      <c r="S7" s="14" t="s">
        <v>62</v>
      </c>
      <c r="T7" s="15" t="s">
        <v>61</v>
      </c>
      <c r="U7" s="14" t="s">
        <v>62</v>
      </c>
      <c r="V7" s="15" t="s">
        <v>61</v>
      </c>
      <c r="W7" s="14">
        <v>2.5121136260498601E-5</v>
      </c>
      <c r="X7" s="15" t="s">
        <v>61</v>
      </c>
      <c r="Y7" s="10"/>
      <c r="Z7" s="10"/>
    </row>
    <row r="8" spans="1:27">
      <c r="A8" s="8" t="s">
        <v>86</v>
      </c>
      <c r="B8" s="8" t="s">
        <v>87</v>
      </c>
      <c r="C8" s="9">
        <v>296.41000000000003</v>
      </c>
      <c r="D8" s="10" t="s">
        <v>88</v>
      </c>
      <c r="E8" s="11">
        <v>3.67</v>
      </c>
      <c r="F8" s="12" t="s">
        <v>57</v>
      </c>
      <c r="G8" s="10" t="s">
        <v>89</v>
      </c>
      <c r="H8" s="10"/>
      <c r="I8" s="10">
        <v>1</v>
      </c>
      <c r="J8" s="10">
        <v>0</v>
      </c>
      <c r="K8" s="10">
        <v>0</v>
      </c>
      <c r="L8" s="10">
        <v>0</v>
      </c>
      <c r="M8" s="28" t="s">
        <v>58</v>
      </c>
      <c r="N8" s="28"/>
      <c r="O8" s="29">
        <v>3.7348541397737498</v>
      </c>
      <c r="P8" s="29" t="s">
        <v>90</v>
      </c>
      <c r="Q8" s="16">
        <v>3.53</v>
      </c>
      <c r="R8" s="10" t="s">
        <v>77</v>
      </c>
      <c r="S8" s="14" t="s">
        <v>62</v>
      </c>
      <c r="T8" s="15" t="s">
        <v>61</v>
      </c>
      <c r="U8" s="14">
        <v>6.810525014957686E-5</v>
      </c>
      <c r="V8" s="15" t="s">
        <v>61</v>
      </c>
      <c r="W8" s="14">
        <v>3.3302886461099492E-5</v>
      </c>
      <c r="X8" s="15" t="s">
        <v>61</v>
      </c>
      <c r="Y8" s="10"/>
      <c r="Z8" s="10"/>
    </row>
    <row r="9" spans="1:27">
      <c r="A9" t="s">
        <v>91</v>
      </c>
      <c r="B9" s="8" t="s">
        <v>92</v>
      </c>
      <c r="C9" s="17">
        <v>272.38799999999998</v>
      </c>
      <c r="D9" s="18" t="s">
        <v>93</v>
      </c>
      <c r="E9" s="11">
        <v>4.01</v>
      </c>
      <c r="F9" s="12" t="s">
        <v>57</v>
      </c>
      <c r="G9" s="10">
        <v>10</v>
      </c>
      <c r="H9" s="10"/>
      <c r="I9" s="10">
        <v>1</v>
      </c>
      <c r="J9" s="10">
        <v>0</v>
      </c>
      <c r="K9" s="10">
        <v>0</v>
      </c>
      <c r="L9" s="10">
        <v>0</v>
      </c>
      <c r="M9" s="28" t="s">
        <v>58</v>
      </c>
      <c r="N9" s="28"/>
      <c r="O9" s="29">
        <v>3.3289109796512641</v>
      </c>
      <c r="P9" s="29" t="s">
        <v>94</v>
      </c>
      <c r="Q9" s="16">
        <v>3.42</v>
      </c>
      <c r="R9" s="10" t="s">
        <v>77</v>
      </c>
      <c r="S9" s="14" t="s">
        <v>62</v>
      </c>
      <c r="T9" s="15" t="s">
        <v>61</v>
      </c>
      <c r="U9" s="14" t="s">
        <v>62</v>
      </c>
      <c r="V9" s="15" t="s">
        <v>61</v>
      </c>
      <c r="W9" s="14">
        <v>3.7759871807476229E-5</v>
      </c>
      <c r="X9" s="15" t="s">
        <v>61</v>
      </c>
      <c r="Y9" s="10"/>
      <c r="Z9" s="10"/>
    </row>
    <row r="10" spans="1:27">
      <c r="A10" s="19" t="s">
        <v>95</v>
      </c>
      <c r="B10" s="8" t="s">
        <v>96</v>
      </c>
      <c r="C10" s="9">
        <v>181.27</v>
      </c>
      <c r="D10" s="10" t="s">
        <v>97</v>
      </c>
      <c r="E10" s="11">
        <v>3.15</v>
      </c>
      <c r="F10" s="12" t="s">
        <v>57</v>
      </c>
      <c r="G10" s="10"/>
      <c r="H10" s="10">
        <v>2.5</v>
      </c>
      <c r="I10" s="10">
        <v>1</v>
      </c>
      <c r="J10" s="10">
        <v>0</v>
      </c>
      <c r="K10" s="10">
        <v>0</v>
      </c>
      <c r="L10" s="10">
        <v>0</v>
      </c>
      <c r="M10" s="28" t="s">
        <v>58</v>
      </c>
      <c r="N10" s="28"/>
      <c r="O10" s="29">
        <f>1.01*E10+0.12</f>
        <v>3.3014999999999999</v>
      </c>
      <c r="P10" s="29" t="s">
        <v>66</v>
      </c>
      <c r="Q10" s="13">
        <f>0.71*E10+0.42</f>
        <v>2.6564999999999999</v>
      </c>
      <c r="R10" s="13" t="s">
        <v>60</v>
      </c>
      <c r="S10" s="14">
        <v>3.6565745209887377E-4</v>
      </c>
      <c r="T10" s="10" t="s">
        <v>78</v>
      </c>
      <c r="U10" s="14" t="s">
        <v>62</v>
      </c>
      <c r="V10" s="10" t="s">
        <v>78</v>
      </c>
      <c r="W10" s="14" t="s">
        <v>62</v>
      </c>
      <c r="X10" s="10" t="s">
        <v>78</v>
      </c>
      <c r="Y10" s="10"/>
      <c r="Z10" s="10"/>
    </row>
    <row r="11" spans="1:27">
      <c r="A11" s="19" t="s">
        <v>98</v>
      </c>
      <c r="B11" s="8" t="s">
        <v>99</v>
      </c>
      <c r="C11" s="9">
        <v>238.34</v>
      </c>
      <c r="D11" s="10" t="s">
        <v>100</v>
      </c>
      <c r="E11" s="11">
        <v>3.3</v>
      </c>
      <c r="F11" s="12" t="s">
        <v>57</v>
      </c>
      <c r="G11" s="10"/>
      <c r="H11" s="10">
        <v>2</v>
      </c>
      <c r="I11" s="10">
        <v>1</v>
      </c>
      <c r="J11" s="10">
        <v>0</v>
      </c>
      <c r="K11" s="10">
        <v>0</v>
      </c>
      <c r="L11" s="10">
        <v>0</v>
      </c>
      <c r="M11" s="28" t="s">
        <v>58</v>
      </c>
      <c r="N11" s="28"/>
      <c r="O11" s="29">
        <f>1.01*E11+0.12</f>
        <v>3.4529999999999998</v>
      </c>
      <c r="P11" s="29" t="s">
        <v>66</v>
      </c>
      <c r="Q11" s="13">
        <f>0.71*E11+0.42</f>
        <v>2.7629999999999999</v>
      </c>
      <c r="R11" s="13" t="s">
        <v>60</v>
      </c>
      <c r="S11" s="14">
        <v>1.8352914911850643E-5</v>
      </c>
      <c r="T11" s="15" t="s">
        <v>61</v>
      </c>
      <c r="U11" s="14" t="s">
        <v>62</v>
      </c>
      <c r="V11" s="15" t="s">
        <v>61</v>
      </c>
      <c r="W11" s="14">
        <v>1.5371137967130771E-5</v>
      </c>
      <c r="X11" s="15" t="s">
        <v>61</v>
      </c>
      <c r="Y11" s="10"/>
      <c r="Z11" s="10"/>
    </row>
    <row r="12" spans="1:27">
      <c r="A12" s="20" t="s">
        <v>101</v>
      </c>
      <c r="B12" s="21" t="s">
        <v>102</v>
      </c>
      <c r="C12" s="22">
        <v>134.178</v>
      </c>
      <c r="D12" s="23" t="s">
        <v>103</v>
      </c>
      <c r="E12" s="11">
        <v>2.64</v>
      </c>
      <c r="F12" s="12" t="s">
        <v>104</v>
      </c>
      <c r="G12" s="10">
        <v>10</v>
      </c>
      <c r="H12" s="10"/>
      <c r="I12" s="10">
        <v>1</v>
      </c>
      <c r="J12" s="10">
        <v>0</v>
      </c>
      <c r="K12" s="10">
        <v>0</v>
      </c>
      <c r="L12" s="10">
        <v>0</v>
      </c>
      <c r="M12" s="28" t="s">
        <v>58</v>
      </c>
      <c r="N12" s="28"/>
      <c r="O12" s="29">
        <v>3.06</v>
      </c>
      <c r="P12" s="31" t="s">
        <v>104</v>
      </c>
      <c r="Q12" s="13">
        <v>2.46</v>
      </c>
      <c r="R12" s="13" t="s">
        <v>77</v>
      </c>
      <c r="S12" s="14">
        <v>2.802612034416076E-4</v>
      </c>
      <c r="T12" s="10" t="s">
        <v>105</v>
      </c>
      <c r="U12" s="14">
        <v>4.6788003555888271E-4</v>
      </c>
      <c r="V12" s="10" t="s">
        <v>105</v>
      </c>
      <c r="W12" s="14">
        <v>6.4437141568400027E-4</v>
      </c>
      <c r="X12" s="10" t="s">
        <v>105</v>
      </c>
      <c r="Y12" s="24">
        <v>7.3381526547510627E-4</v>
      </c>
      <c r="Z12" s="10" t="s">
        <v>106</v>
      </c>
    </row>
    <row r="13" spans="1:27">
      <c r="A13" t="s">
        <v>107</v>
      </c>
      <c r="B13" s="8" t="s">
        <v>108</v>
      </c>
      <c r="C13" s="17">
        <v>198.22900000000001</v>
      </c>
      <c r="D13" s="18" t="s">
        <v>109</v>
      </c>
      <c r="E13" s="11">
        <v>1.47</v>
      </c>
      <c r="F13" s="12" t="s">
        <v>57</v>
      </c>
      <c r="G13" s="10"/>
      <c r="H13" s="10" t="s">
        <v>110</v>
      </c>
      <c r="I13" s="10">
        <v>0.56000000000000005</v>
      </c>
      <c r="J13" s="10">
        <v>0</v>
      </c>
      <c r="K13" s="10">
        <v>0.44</v>
      </c>
      <c r="L13" s="10">
        <v>0</v>
      </c>
      <c r="M13" s="28" t="s">
        <v>58</v>
      </c>
      <c r="N13" s="28"/>
      <c r="O13" s="29">
        <f>LOG(I13*10^(1.01*E13+0.12)+(1-I13)*10^(1.01*E13+0.12)/10)</f>
        <v>1.3857369386211318</v>
      </c>
      <c r="P13" s="29" t="s">
        <v>59</v>
      </c>
      <c r="Q13" s="13">
        <f>IF(E13&lt;2,1.31,0.71*E13+0.42)</f>
        <v>1.31</v>
      </c>
      <c r="R13" s="13" t="s">
        <v>67</v>
      </c>
      <c r="S13" s="14" t="s">
        <v>62</v>
      </c>
      <c r="T13" s="15" t="s">
        <v>61</v>
      </c>
      <c r="U13" s="14">
        <v>3.6051483176783832E-5</v>
      </c>
      <c r="V13" s="15" t="s">
        <v>61</v>
      </c>
      <c r="W13" s="14" t="s">
        <v>62</v>
      </c>
      <c r="X13" s="15" t="s">
        <v>61</v>
      </c>
      <c r="Y13" s="10"/>
      <c r="Z13" s="10"/>
    </row>
    <row r="14" spans="1:27">
      <c r="A14" s="19" t="s">
        <v>111</v>
      </c>
      <c r="B14" s="8" t="s">
        <v>112</v>
      </c>
      <c r="C14" s="9">
        <v>133.154</v>
      </c>
      <c r="D14" s="10" t="s">
        <v>113</v>
      </c>
      <c r="E14" s="11">
        <v>0.91</v>
      </c>
      <c r="F14" s="12" t="s">
        <v>57</v>
      </c>
      <c r="G14" s="10">
        <v>12.8</v>
      </c>
      <c r="H14" s="10">
        <v>7.5</v>
      </c>
      <c r="I14" s="10">
        <v>0.44</v>
      </c>
      <c r="J14" s="10">
        <v>0</v>
      </c>
      <c r="K14" s="10">
        <v>0.56000000000000005</v>
      </c>
      <c r="L14" s="10">
        <v>0</v>
      </c>
      <c r="M14" s="28" t="s">
        <v>58</v>
      </c>
      <c r="N14" s="28"/>
      <c r="O14" s="29">
        <f>LOG(I14*10^(1.01*E14+0.12)+(1-I14)*10^(1.01*E14+0.12)/10)</f>
        <v>0.73458167649019745</v>
      </c>
      <c r="P14" s="29" t="s">
        <v>59</v>
      </c>
      <c r="Q14" s="13">
        <f>IF(E14&lt;2,1.31,0.71*E14+0.42)</f>
        <v>1.31</v>
      </c>
      <c r="R14" s="13" t="s">
        <v>67</v>
      </c>
      <c r="S14" s="14" t="s">
        <v>62</v>
      </c>
      <c r="T14" s="15" t="s">
        <v>61</v>
      </c>
      <c r="U14" s="14">
        <v>8.4859963507153723E-5</v>
      </c>
      <c r="V14" s="15" t="s">
        <v>61</v>
      </c>
      <c r="W14" s="14" t="s">
        <v>62</v>
      </c>
      <c r="X14" s="15" t="s">
        <v>61</v>
      </c>
      <c r="Y14" s="10"/>
      <c r="Z14" s="10"/>
    </row>
    <row r="15" spans="1:27">
      <c r="A15" s="19" t="s">
        <v>114</v>
      </c>
      <c r="B15" s="8" t="s">
        <v>115</v>
      </c>
      <c r="C15" s="9">
        <v>94.117000000000004</v>
      </c>
      <c r="D15" s="10" t="s">
        <v>116</v>
      </c>
      <c r="E15" s="11">
        <v>0.48</v>
      </c>
      <c r="F15" s="12" t="s">
        <v>57</v>
      </c>
      <c r="G15" s="10"/>
      <c r="H15" s="10">
        <v>6.9</v>
      </c>
      <c r="I15" s="10">
        <v>0.76</v>
      </c>
      <c r="J15" s="10">
        <v>0</v>
      </c>
      <c r="K15" s="10">
        <v>0.24</v>
      </c>
      <c r="L15" s="10">
        <v>0</v>
      </c>
      <c r="M15" s="28" t="s">
        <v>58</v>
      </c>
      <c r="N15" s="28"/>
      <c r="O15" s="29">
        <f>LOG(I15*10^(0.62)+(1-I15)*10^(0.62)/10)</f>
        <v>0.51431606268443852</v>
      </c>
      <c r="P15" s="29" t="s">
        <v>76</v>
      </c>
      <c r="Q15" s="13">
        <f>IF(E15&lt;2,1.31,0.71*E15+0.42)</f>
        <v>1.31</v>
      </c>
      <c r="R15" s="13" t="s">
        <v>67</v>
      </c>
      <c r="S15" s="14" t="s">
        <v>62</v>
      </c>
      <c r="T15" s="15" t="s">
        <v>61</v>
      </c>
      <c r="U15" s="14" t="s">
        <v>62</v>
      </c>
      <c r="V15" s="15" t="s">
        <v>61</v>
      </c>
      <c r="W15" s="14">
        <v>6.4888255887257678E-5</v>
      </c>
      <c r="X15" s="15" t="s">
        <v>61</v>
      </c>
      <c r="Y15" s="10"/>
      <c r="Z15" s="10"/>
    </row>
    <row r="16" spans="1:27">
      <c r="A16" s="8" t="s">
        <v>117</v>
      </c>
      <c r="B16" s="8" t="s">
        <v>118</v>
      </c>
      <c r="C16" s="9">
        <v>169.227</v>
      </c>
      <c r="D16" s="10" t="s">
        <v>119</v>
      </c>
      <c r="E16" s="11">
        <v>2.84</v>
      </c>
      <c r="F16" s="12" t="s">
        <v>57</v>
      </c>
      <c r="G16" s="10"/>
      <c r="H16" s="10">
        <v>3.7</v>
      </c>
      <c r="I16" s="10">
        <v>1</v>
      </c>
      <c r="J16" s="10">
        <v>0</v>
      </c>
      <c r="K16" s="10">
        <v>0</v>
      </c>
      <c r="L16" s="10">
        <v>0</v>
      </c>
      <c r="M16" s="28" t="s">
        <v>58</v>
      </c>
      <c r="N16" s="28"/>
      <c r="O16" s="32">
        <v>3.65</v>
      </c>
      <c r="P16" s="28" t="s">
        <v>77</v>
      </c>
      <c r="Q16" s="16">
        <v>3.25</v>
      </c>
      <c r="R16" s="10" t="s">
        <v>77</v>
      </c>
      <c r="S16" s="14">
        <v>6.1939734058896883E-5</v>
      </c>
      <c r="T16" s="15" t="s">
        <v>61</v>
      </c>
      <c r="U16" s="14" t="s">
        <v>62</v>
      </c>
      <c r="V16" s="15" t="s">
        <v>61</v>
      </c>
      <c r="W16" s="14" t="s">
        <v>62</v>
      </c>
      <c r="X16" s="15" t="s">
        <v>61</v>
      </c>
      <c r="Y16" s="10"/>
      <c r="Z16" s="10"/>
    </row>
    <row r="17" spans="1:27">
      <c r="A17" s="25" t="s">
        <v>120</v>
      </c>
      <c r="B17" s="21" t="s">
        <v>121</v>
      </c>
      <c r="C17" s="22">
        <v>118.176</v>
      </c>
      <c r="D17" s="23" t="s">
        <v>122</v>
      </c>
      <c r="E17" s="11">
        <v>0.83</v>
      </c>
      <c r="F17" s="12" t="s">
        <v>104</v>
      </c>
      <c r="G17" s="10">
        <v>14.95</v>
      </c>
      <c r="H17" s="10"/>
      <c r="I17" s="10">
        <v>1</v>
      </c>
      <c r="J17" s="10">
        <v>0</v>
      </c>
      <c r="K17" s="10">
        <v>0</v>
      </c>
      <c r="L17" s="10">
        <v>0</v>
      </c>
      <c r="M17" s="28" t="s">
        <v>58</v>
      </c>
      <c r="N17" s="28"/>
      <c r="O17" s="29">
        <v>0.59499999999999997</v>
      </c>
      <c r="P17" s="31" t="s">
        <v>104</v>
      </c>
      <c r="Q17" s="13">
        <v>0.71</v>
      </c>
      <c r="R17" s="13" t="s">
        <v>77</v>
      </c>
      <c r="S17" s="14">
        <v>9.2081031307550652E-3</v>
      </c>
      <c r="T17" s="10" t="s">
        <v>105</v>
      </c>
      <c r="U17" s="14">
        <v>3.7864445285876562E-2</v>
      </c>
      <c r="V17" s="10" t="s">
        <v>105</v>
      </c>
      <c r="W17" s="14">
        <v>8.8339222614840993E-3</v>
      </c>
      <c r="X17" s="10" t="s">
        <v>105</v>
      </c>
      <c r="Y17" s="24">
        <v>8.6634836306358435E-3</v>
      </c>
      <c r="Z17" s="10" t="s">
        <v>106</v>
      </c>
    </row>
    <row r="18" spans="1:27">
      <c r="A18" s="8" t="s">
        <v>123</v>
      </c>
      <c r="B18" s="8" t="s">
        <v>124</v>
      </c>
      <c r="C18" s="9">
        <v>515.82100000000003</v>
      </c>
      <c r="D18" s="10" t="s">
        <v>125</v>
      </c>
      <c r="E18" s="10">
        <v>6.43</v>
      </c>
      <c r="F18" s="8" t="s">
        <v>82</v>
      </c>
      <c r="G18" s="10"/>
      <c r="H18" s="10"/>
      <c r="I18" s="10">
        <v>1</v>
      </c>
      <c r="J18" s="10">
        <v>0</v>
      </c>
      <c r="K18" s="10">
        <v>0</v>
      </c>
      <c r="L18" s="10">
        <v>0</v>
      </c>
      <c r="M18" s="28" t="s">
        <v>58</v>
      </c>
      <c r="N18" s="28"/>
      <c r="O18" s="29">
        <f>1.01*E18+0.12</f>
        <v>6.6143000000000001</v>
      </c>
      <c r="P18" s="29" t="s">
        <v>66</v>
      </c>
      <c r="Q18" s="13">
        <f>0.71*E18+0.42</f>
        <v>4.9852999999999996</v>
      </c>
      <c r="R18" s="13" t="s">
        <v>60</v>
      </c>
      <c r="S18" s="14">
        <v>1.2834047804774626E-6</v>
      </c>
      <c r="T18" s="10" t="s">
        <v>106</v>
      </c>
      <c r="U18" s="14" t="s">
        <v>62</v>
      </c>
      <c r="V18" s="10" t="s">
        <v>106</v>
      </c>
      <c r="W18" s="14"/>
      <c r="X18" s="14"/>
      <c r="Y18" s="10"/>
      <c r="Z18" s="10"/>
    </row>
    <row r="19" spans="1:27">
      <c r="A19" s="8" t="s">
        <v>126</v>
      </c>
      <c r="B19" s="8" t="s">
        <v>127</v>
      </c>
      <c r="C19" s="9">
        <v>138.126</v>
      </c>
      <c r="D19" s="10" t="s">
        <v>128</v>
      </c>
      <c r="E19" s="11">
        <v>1.85</v>
      </c>
      <c r="F19" s="12" t="s">
        <v>57</v>
      </c>
      <c r="G19" s="10"/>
      <c r="H19" s="10">
        <v>-0.35</v>
      </c>
      <c r="I19" s="10">
        <v>1</v>
      </c>
      <c r="J19" s="10">
        <v>0</v>
      </c>
      <c r="K19" s="10">
        <v>0</v>
      </c>
      <c r="L19" s="10">
        <v>0</v>
      </c>
      <c r="M19" s="28" t="s">
        <v>58</v>
      </c>
      <c r="N19" s="28"/>
      <c r="O19" s="32">
        <v>2.17</v>
      </c>
      <c r="P19" s="28" t="s">
        <v>77</v>
      </c>
      <c r="Q19" s="16">
        <v>2.08</v>
      </c>
      <c r="R19" s="13" t="s">
        <v>60</v>
      </c>
      <c r="S19" s="14" t="s">
        <v>62</v>
      </c>
      <c r="T19" s="15" t="s">
        <v>61</v>
      </c>
      <c r="U19" s="14" t="s">
        <v>62</v>
      </c>
      <c r="V19" s="15" t="s">
        <v>61</v>
      </c>
      <c r="W19" s="14">
        <v>6.9353135022808525E-5</v>
      </c>
      <c r="X19" s="15" t="s">
        <v>61</v>
      </c>
      <c r="Y19" s="10"/>
      <c r="Z19" s="10"/>
    </row>
    <row r="21" spans="1:27">
      <c r="O21" s="30">
        <f>LOG(I21*10^(3.78)+(1-I21)*10^(3.78-1))</f>
        <v>2.78</v>
      </c>
    </row>
    <row r="23" spans="1:27" ht="57">
      <c r="A23" s="37" t="s">
        <v>142</v>
      </c>
      <c r="B23" s="2" t="s">
        <v>36</v>
      </c>
      <c r="C23" s="2" t="s">
        <v>37</v>
      </c>
      <c r="D23" s="2" t="s">
        <v>38</v>
      </c>
      <c r="E23" s="3" t="s">
        <v>39</v>
      </c>
      <c r="F23" s="3" t="s">
        <v>40</v>
      </c>
      <c r="G23" s="2" t="s">
        <v>41</v>
      </c>
      <c r="H23" s="2" t="s">
        <v>42</v>
      </c>
      <c r="I23" s="56" t="s">
        <v>43</v>
      </c>
      <c r="J23" s="2" t="s">
        <v>44</v>
      </c>
      <c r="K23" s="51" t="s">
        <v>45</v>
      </c>
      <c r="L23" s="2" t="s">
        <v>46</v>
      </c>
      <c r="M23" s="26" t="s">
        <v>40</v>
      </c>
      <c r="N23" s="27" t="s">
        <v>241</v>
      </c>
      <c r="O23" s="27" t="s">
        <v>47</v>
      </c>
      <c r="P23" s="27" t="s">
        <v>48</v>
      </c>
      <c r="Q23" s="34" t="s">
        <v>49</v>
      </c>
      <c r="R23" s="34" t="s">
        <v>48</v>
      </c>
      <c r="S23" s="34" t="s">
        <v>50</v>
      </c>
      <c r="T23" s="35" t="s">
        <v>48</v>
      </c>
      <c r="U23" s="34" t="s">
        <v>51</v>
      </c>
      <c r="V23" s="35" t="s">
        <v>48</v>
      </c>
      <c r="W23" s="34" t="s">
        <v>52</v>
      </c>
      <c r="X23" s="35" t="s">
        <v>48</v>
      </c>
      <c r="Y23" s="35" t="s">
        <v>53</v>
      </c>
      <c r="Z23" s="35" t="s">
        <v>48</v>
      </c>
      <c r="AA23" s="37" t="s">
        <v>246</v>
      </c>
    </row>
    <row r="24" spans="1:27">
      <c r="A24" t="s">
        <v>204</v>
      </c>
      <c r="B24" s="33" t="s">
        <v>5</v>
      </c>
      <c r="C24" s="9">
        <v>404.54700000000003</v>
      </c>
      <c r="D24" s="10" t="s">
        <v>131</v>
      </c>
      <c r="E24" s="11">
        <v>4.26</v>
      </c>
      <c r="F24" s="55" t="s">
        <v>57</v>
      </c>
      <c r="G24" s="10">
        <v>14.64</v>
      </c>
      <c r="H24" s="10"/>
      <c r="I24" s="57">
        <v>1</v>
      </c>
      <c r="J24" s="10">
        <v>0</v>
      </c>
      <c r="K24" s="52">
        <v>0</v>
      </c>
      <c r="L24" s="10">
        <v>0</v>
      </c>
      <c r="M24" s="10" t="s">
        <v>58</v>
      </c>
      <c r="N24" s="16">
        <v>3.77</v>
      </c>
      <c r="O24" s="16">
        <v>3.77</v>
      </c>
      <c r="P24" s="10" t="s">
        <v>77</v>
      </c>
      <c r="Q24" s="43">
        <v>3.72</v>
      </c>
      <c r="R24" s="41" t="s">
        <v>77</v>
      </c>
      <c r="S24" s="39">
        <v>5.9588082391171006E-5</v>
      </c>
      <c r="T24" s="40" t="s">
        <v>61</v>
      </c>
      <c r="U24" s="39">
        <v>6.5026236694443258E-5</v>
      </c>
      <c r="V24" s="40" t="s">
        <v>61</v>
      </c>
      <c r="W24" s="39" t="s">
        <v>62</v>
      </c>
      <c r="X24" s="40" t="s">
        <v>61</v>
      </c>
      <c r="Y24" s="41"/>
      <c r="Z24" s="41"/>
      <c r="AA24" t="s">
        <v>245</v>
      </c>
    </row>
    <row r="25" spans="1:27">
      <c r="A25" t="s">
        <v>203</v>
      </c>
      <c r="B25" s="33" t="s">
        <v>9</v>
      </c>
      <c r="C25" s="9">
        <v>588.56200000000001</v>
      </c>
      <c r="D25" s="10" t="s">
        <v>134</v>
      </c>
      <c r="E25" s="11">
        <v>0.6</v>
      </c>
      <c r="F25" s="55" t="s">
        <v>57</v>
      </c>
      <c r="G25" s="10" t="s">
        <v>135</v>
      </c>
      <c r="H25" s="10"/>
      <c r="I25" s="57">
        <v>1</v>
      </c>
      <c r="J25" s="10">
        <v>0</v>
      </c>
      <c r="K25" s="52">
        <v>0</v>
      </c>
      <c r="L25" s="10">
        <v>0</v>
      </c>
      <c r="M25" s="10" t="s">
        <v>58</v>
      </c>
      <c r="N25" s="28" t="s">
        <v>205</v>
      </c>
      <c r="O25" s="54">
        <f>1.01*E25+0.12</f>
        <v>0.72599999999999998</v>
      </c>
      <c r="P25" s="13" t="s">
        <v>66</v>
      </c>
      <c r="Q25" s="38">
        <f>IF(E25&lt;2,1.31,0.71*E25+0.42)</f>
        <v>1.31</v>
      </c>
      <c r="R25" s="38" t="s">
        <v>67</v>
      </c>
      <c r="S25" s="39">
        <v>4.4400138152744183E-5</v>
      </c>
      <c r="T25" s="40" t="s">
        <v>61</v>
      </c>
      <c r="U25" s="39">
        <v>3.8196604745197012E-5</v>
      </c>
      <c r="V25" s="40" t="s">
        <v>61</v>
      </c>
      <c r="W25" s="39">
        <v>3.4996307018236275E-5</v>
      </c>
      <c r="X25" s="40" t="s">
        <v>61</v>
      </c>
      <c r="Y25" s="41"/>
      <c r="Z25" s="41"/>
      <c r="AA25" t="s">
        <v>245</v>
      </c>
    </row>
    <row r="26" spans="1:27" ht="16.5" customHeight="1">
      <c r="A26" t="s">
        <v>143</v>
      </c>
      <c r="B26" t="s">
        <v>1</v>
      </c>
      <c r="C26" s="9">
        <v>507.62700000000001</v>
      </c>
      <c r="D26" s="10" t="s">
        <v>144</v>
      </c>
      <c r="E26" s="11">
        <v>3.29</v>
      </c>
      <c r="F26" s="55" t="s">
        <v>82</v>
      </c>
      <c r="G26" s="10" t="s">
        <v>217</v>
      </c>
      <c r="H26" s="15">
        <v>4.2</v>
      </c>
      <c r="I26" s="57">
        <v>1</v>
      </c>
      <c r="J26" s="10">
        <v>0</v>
      </c>
      <c r="K26" s="10">
        <v>0</v>
      </c>
      <c r="L26" s="10">
        <v>0</v>
      </c>
      <c r="M26" s="10" t="s">
        <v>208</v>
      </c>
      <c r="N26" s="28" t="s">
        <v>205</v>
      </c>
      <c r="O26" s="58">
        <f t="shared" ref="O26:O27" si="0">1.01*E26+0.12</f>
        <v>3.4429000000000003</v>
      </c>
      <c r="P26" s="58" t="s">
        <v>66</v>
      </c>
      <c r="Q26" s="42">
        <v>3.25</v>
      </c>
      <c r="R26" s="42" t="s">
        <v>82</v>
      </c>
      <c r="S26" s="36"/>
      <c r="T26" s="36"/>
      <c r="U26" s="36"/>
      <c r="V26" s="36"/>
      <c r="W26" s="36"/>
      <c r="X26" s="36"/>
      <c r="Y26" s="36"/>
      <c r="Z26" s="36"/>
      <c r="AA26" t="s">
        <v>245</v>
      </c>
    </row>
    <row r="27" spans="1:27" ht="15" customHeight="1">
      <c r="A27" t="s">
        <v>147</v>
      </c>
      <c r="B27" t="s">
        <v>2</v>
      </c>
      <c r="C27" s="9">
        <v>395.51</v>
      </c>
      <c r="D27" s="10" t="s">
        <v>146</v>
      </c>
      <c r="E27" s="11">
        <v>3.04</v>
      </c>
      <c r="F27" s="55" t="s">
        <v>82</v>
      </c>
      <c r="G27" s="10" t="s">
        <v>218</v>
      </c>
      <c r="H27" s="10"/>
      <c r="I27" s="57">
        <v>1</v>
      </c>
      <c r="J27" s="10">
        <v>0</v>
      </c>
      <c r="K27" s="10">
        <v>0</v>
      </c>
      <c r="L27" s="10">
        <v>0</v>
      </c>
      <c r="M27" s="10" t="s">
        <v>208</v>
      </c>
      <c r="N27" s="28" t="s">
        <v>205</v>
      </c>
      <c r="O27" s="58">
        <f t="shared" si="0"/>
        <v>3.1904000000000003</v>
      </c>
      <c r="P27" s="58" t="s">
        <v>66</v>
      </c>
      <c r="Q27" s="42">
        <v>1.86</v>
      </c>
      <c r="R27" s="42" t="s">
        <v>82</v>
      </c>
      <c r="S27" s="36"/>
      <c r="T27" s="36"/>
      <c r="U27" s="36"/>
      <c r="V27" s="36"/>
      <c r="W27" s="36"/>
      <c r="X27" s="36"/>
      <c r="Y27" s="36"/>
      <c r="Z27" s="36"/>
      <c r="AA27" t="s">
        <v>245</v>
      </c>
    </row>
    <row r="28" spans="1:27">
      <c r="A28" s="46" t="s">
        <v>194</v>
      </c>
      <c r="B28" s="46" t="s">
        <v>4</v>
      </c>
      <c r="C28" s="47">
        <v>509.51799999999997</v>
      </c>
      <c r="D28" s="28" t="s">
        <v>205</v>
      </c>
      <c r="E28" s="11">
        <v>2.871</v>
      </c>
      <c r="F28" t="s">
        <v>208</v>
      </c>
      <c r="G28" s="10" t="s">
        <v>207</v>
      </c>
      <c r="H28" s="15" t="s">
        <v>206</v>
      </c>
      <c r="I28" s="58">
        <v>0.04</v>
      </c>
      <c r="J28" s="10">
        <v>0</v>
      </c>
      <c r="K28" s="52">
        <v>0.96</v>
      </c>
      <c r="L28" s="10">
        <v>0</v>
      </c>
      <c r="M28" s="10" t="s">
        <v>208</v>
      </c>
      <c r="N28" s="28" t="s">
        <v>205</v>
      </c>
      <c r="O28" s="59">
        <f>LOG(I28*10^(1.01*E28+0.12)+(1-I28)*10^(1.01*E28+0.12)/10)</f>
        <v>2.1532489083702182</v>
      </c>
      <c r="P28" s="59" t="s">
        <v>59</v>
      </c>
      <c r="Q28" s="42"/>
      <c r="R28" s="42"/>
      <c r="S28" s="36"/>
      <c r="T28" s="36"/>
      <c r="U28" s="36"/>
      <c r="V28" s="36"/>
      <c r="W28" s="36"/>
      <c r="X28" s="36"/>
      <c r="Y28" s="36"/>
      <c r="Z28" s="36"/>
      <c r="AA28" t="s">
        <v>245</v>
      </c>
    </row>
    <row r="29" spans="1:27">
      <c r="A29" t="s">
        <v>149</v>
      </c>
      <c r="B29" t="s">
        <v>7</v>
      </c>
      <c r="C29" s="9">
        <v>304.20999999999998</v>
      </c>
      <c r="D29" s="10" t="s">
        <v>148</v>
      </c>
      <c r="E29" s="11">
        <v>1.7</v>
      </c>
      <c r="F29" s="55" t="s">
        <v>57</v>
      </c>
      <c r="G29" s="10">
        <v>4.46</v>
      </c>
      <c r="H29" s="10">
        <v>1.72</v>
      </c>
      <c r="I29" s="57">
        <v>0</v>
      </c>
      <c r="J29" s="10">
        <v>1</v>
      </c>
      <c r="K29" s="52">
        <v>0</v>
      </c>
      <c r="L29" s="10">
        <v>0</v>
      </c>
      <c r="M29" s="10" t="s">
        <v>208</v>
      </c>
      <c r="N29" s="16">
        <v>3.78</v>
      </c>
      <c r="O29" s="30">
        <f>LOG(I29*10^(3.78)+(1-I29)*10^(3.78-1))</f>
        <v>2.78</v>
      </c>
      <c r="P29" s="28" t="s">
        <v>76</v>
      </c>
      <c r="Q29" s="42">
        <v>1.7</v>
      </c>
      <c r="R29" s="42" t="s">
        <v>82</v>
      </c>
      <c r="S29" s="36"/>
      <c r="T29" s="36"/>
      <c r="U29" s="36"/>
      <c r="V29" s="36"/>
      <c r="W29" s="36"/>
      <c r="X29" s="36"/>
      <c r="Y29" s="36"/>
      <c r="Z29" s="36"/>
      <c r="AA29" t="s">
        <v>245</v>
      </c>
    </row>
    <row r="30" spans="1:27">
      <c r="A30" t="s">
        <v>150</v>
      </c>
      <c r="B30" t="s">
        <v>10</v>
      </c>
      <c r="C30" s="9">
        <v>334.33199999999999</v>
      </c>
      <c r="D30" s="10" t="s">
        <v>151</v>
      </c>
      <c r="E30" s="11">
        <v>-0.4</v>
      </c>
      <c r="F30" s="55" t="s">
        <v>57</v>
      </c>
      <c r="G30" s="10">
        <v>14.97</v>
      </c>
      <c r="H30" s="10">
        <v>6.36</v>
      </c>
      <c r="I30" s="58">
        <v>0.92</v>
      </c>
      <c r="J30" s="10">
        <v>0</v>
      </c>
      <c r="K30" s="52">
        <v>0.08</v>
      </c>
      <c r="L30" s="10">
        <v>0</v>
      </c>
      <c r="M30" s="10" t="s">
        <v>208</v>
      </c>
      <c r="N30" s="28" t="s">
        <v>205</v>
      </c>
      <c r="O30" s="59">
        <f>LOG(I30*10^(1.01*E30+0.12)+(1-I30)*10^(1.01*E30+0.12)/10)</f>
        <v>-0.31645202378113796</v>
      </c>
      <c r="P30" s="59" t="s">
        <v>59</v>
      </c>
      <c r="Q30" s="42">
        <v>-0.51</v>
      </c>
      <c r="R30" s="42" t="s">
        <v>82</v>
      </c>
      <c r="S30" s="36"/>
      <c r="T30" s="36"/>
      <c r="U30" s="36"/>
      <c r="V30" s="36"/>
      <c r="W30" s="36"/>
      <c r="X30" s="36"/>
      <c r="Y30" s="36"/>
      <c r="Z30" s="36"/>
      <c r="AA30" t="s">
        <v>245</v>
      </c>
    </row>
    <row r="31" spans="1:27" ht="15.85" customHeight="1">
      <c r="A31" t="s">
        <v>153</v>
      </c>
      <c r="B31" t="s">
        <v>11</v>
      </c>
      <c r="C31" s="9">
        <v>348.358</v>
      </c>
      <c r="D31" s="10" t="s">
        <v>152</v>
      </c>
      <c r="E31" s="11">
        <v>1.74</v>
      </c>
      <c r="F31" s="55" t="s">
        <v>57</v>
      </c>
      <c r="G31" s="10">
        <v>11.71</v>
      </c>
      <c r="H31" s="10" t="s">
        <v>234</v>
      </c>
      <c r="I31" s="57">
        <v>1</v>
      </c>
      <c r="J31" s="10">
        <v>0</v>
      </c>
      <c r="K31" s="10">
        <v>0</v>
      </c>
      <c r="L31" s="10">
        <v>0</v>
      </c>
      <c r="M31" s="10" t="s">
        <v>208</v>
      </c>
      <c r="N31" s="28" t="s">
        <v>205</v>
      </c>
      <c r="O31" s="58">
        <f t="shared" ref="O31" si="1">1.01*E31+0.12</f>
        <v>1.8774000000000002</v>
      </c>
      <c r="P31" s="58" t="s">
        <v>66</v>
      </c>
      <c r="Q31" s="42">
        <v>-1.5</v>
      </c>
      <c r="R31" s="42" t="s">
        <v>82</v>
      </c>
      <c r="S31" s="36"/>
      <c r="T31" s="36"/>
      <c r="U31" s="36"/>
      <c r="V31" s="36"/>
      <c r="W31" s="36"/>
      <c r="X31" s="36"/>
      <c r="Y31" s="36"/>
      <c r="Z31" s="36"/>
      <c r="AA31" t="s">
        <v>245</v>
      </c>
    </row>
    <row r="32" spans="1:27" ht="15.85" customHeight="1">
      <c r="A32" t="s">
        <v>155</v>
      </c>
      <c r="B32" t="s">
        <v>12</v>
      </c>
      <c r="C32" s="9">
        <v>246.19399999999999</v>
      </c>
      <c r="D32" s="10" t="s">
        <v>154</v>
      </c>
      <c r="E32" s="11" t="s">
        <v>156</v>
      </c>
      <c r="F32" s="55" t="s">
        <v>57</v>
      </c>
      <c r="G32" s="10" t="s">
        <v>235</v>
      </c>
      <c r="H32" s="10">
        <v>-1.17</v>
      </c>
      <c r="I32" s="58">
        <v>0.46</v>
      </c>
      <c r="J32" s="10">
        <v>0.54</v>
      </c>
      <c r="K32" s="52">
        <v>0</v>
      </c>
      <c r="L32" s="10">
        <v>0</v>
      </c>
      <c r="M32" s="10" t="s">
        <v>208</v>
      </c>
      <c r="N32" s="28" t="s">
        <v>205</v>
      </c>
      <c r="O32" s="54">
        <v>-1</v>
      </c>
      <c r="P32" s="13" t="s">
        <v>141</v>
      </c>
      <c r="Q32" s="42">
        <v>-1.51</v>
      </c>
      <c r="R32" s="42" t="s">
        <v>82</v>
      </c>
      <c r="S32" s="36"/>
      <c r="T32" s="36"/>
      <c r="U32" s="36"/>
      <c r="V32" s="36"/>
      <c r="W32" s="36"/>
      <c r="X32" s="36"/>
      <c r="Y32" s="36"/>
      <c r="Z32" s="36"/>
      <c r="AA32" t="s">
        <v>245</v>
      </c>
    </row>
    <row r="33" spans="1:27">
      <c r="A33" t="s">
        <v>158</v>
      </c>
      <c r="B33" t="s">
        <v>14</v>
      </c>
      <c r="C33" s="9">
        <v>444.488</v>
      </c>
      <c r="D33" s="10" t="s">
        <v>157</v>
      </c>
      <c r="E33" s="11">
        <v>0.27</v>
      </c>
      <c r="F33" s="55" t="s">
        <v>82</v>
      </c>
      <c r="G33" s="10" t="s">
        <v>236</v>
      </c>
      <c r="H33" s="10" t="s">
        <v>237</v>
      </c>
      <c r="I33" s="57">
        <v>0</v>
      </c>
      <c r="J33" s="10">
        <v>0</v>
      </c>
      <c r="K33" s="52">
        <v>1</v>
      </c>
      <c r="L33" s="10">
        <v>0</v>
      </c>
      <c r="M33" s="10" t="s">
        <v>208</v>
      </c>
      <c r="N33" s="16">
        <v>1.02</v>
      </c>
      <c r="O33" s="30">
        <f>LOG(I33*10^(1.02)+(1-I33)*10^(1.02-1))</f>
        <v>2.0000000000000032E-2</v>
      </c>
      <c r="P33" s="28" t="s">
        <v>76</v>
      </c>
      <c r="Q33" s="42">
        <v>-0.5</v>
      </c>
      <c r="R33" s="42" t="s">
        <v>82</v>
      </c>
      <c r="S33" s="36"/>
      <c r="T33" s="36"/>
      <c r="U33" s="36"/>
      <c r="V33" s="36"/>
      <c r="W33" s="36"/>
      <c r="X33" s="36"/>
      <c r="Y33" s="36"/>
      <c r="Z33" s="36"/>
      <c r="AA33" t="s">
        <v>245</v>
      </c>
    </row>
    <row r="34" spans="1:27">
      <c r="A34" s="46" t="s">
        <v>195</v>
      </c>
      <c r="B34" s="46" t="s">
        <v>15</v>
      </c>
      <c r="C34" s="47">
        <v>474.62</v>
      </c>
      <c r="D34" s="28" t="s">
        <v>205</v>
      </c>
      <c r="E34" s="11">
        <v>4.4749999999999996</v>
      </c>
      <c r="F34" t="s">
        <v>208</v>
      </c>
      <c r="G34" s="15"/>
      <c r="H34" s="10" t="s">
        <v>209</v>
      </c>
      <c r="I34" s="57">
        <v>0</v>
      </c>
      <c r="J34" s="10">
        <v>0</v>
      </c>
      <c r="K34" s="52">
        <v>1</v>
      </c>
      <c r="L34" s="10">
        <v>0</v>
      </c>
      <c r="M34" s="10" t="s">
        <v>208</v>
      </c>
      <c r="N34" s="28" t="s">
        <v>205</v>
      </c>
      <c r="O34" s="59">
        <f>LOG(I34*10^(1.01*E34+0.12)+(1-I34)*10^(1.01*E34+0.12)/10)</f>
        <v>3.6397499999999994</v>
      </c>
      <c r="P34" s="59" t="s">
        <v>59</v>
      </c>
      <c r="Q34" s="42"/>
      <c r="R34" s="42"/>
      <c r="S34" s="36"/>
      <c r="T34" s="36"/>
      <c r="U34" s="36"/>
      <c r="V34" s="36"/>
      <c r="W34" s="36"/>
      <c r="X34" s="36"/>
      <c r="Y34" s="36"/>
      <c r="Z34" s="36"/>
      <c r="AA34" t="s">
        <v>245</v>
      </c>
    </row>
    <row r="35" spans="1:27">
      <c r="A35" t="s">
        <v>196</v>
      </c>
      <c r="B35" t="s">
        <v>16</v>
      </c>
      <c r="C35" s="9">
        <v>301.77999999999997</v>
      </c>
      <c r="D35" s="10" t="s">
        <v>199</v>
      </c>
      <c r="E35" s="11">
        <v>2.73</v>
      </c>
      <c r="F35" s="55" t="s">
        <v>82</v>
      </c>
      <c r="G35" s="10"/>
      <c r="H35" s="10">
        <v>4.8099999999999996</v>
      </c>
      <c r="I35" s="57">
        <v>1</v>
      </c>
      <c r="J35" s="10">
        <v>0</v>
      </c>
      <c r="K35" s="10">
        <v>0</v>
      </c>
      <c r="L35" s="10">
        <v>0</v>
      </c>
      <c r="M35" s="10" t="s">
        <v>208</v>
      </c>
      <c r="N35" s="28" t="s">
        <v>205</v>
      </c>
      <c r="O35" s="58">
        <f t="shared" ref="O35" si="2">1.01*E35+0.12</f>
        <v>2.8773</v>
      </c>
      <c r="P35" s="58" t="s">
        <v>66</v>
      </c>
      <c r="Q35" s="42">
        <v>2.73</v>
      </c>
      <c r="R35" s="42" t="s">
        <v>82</v>
      </c>
      <c r="S35" s="36"/>
      <c r="T35" s="36"/>
      <c r="U35" s="36"/>
      <c r="V35" s="36"/>
      <c r="W35" s="36"/>
      <c r="X35" s="36"/>
      <c r="Y35" s="36"/>
      <c r="Z35" s="36"/>
      <c r="AA35" t="s">
        <v>245</v>
      </c>
    </row>
    <row r="36" spans="1:27">
      <c r="A36" t="s">
        <v>160</v>
      </c>
      <c r="B36" t="s">
        <v>17</v>
      </c>
      <c r="C36" s="9">
        <v>293.28199999999998</v>
      </c>
      <c r="D36" s="10" t="s">
        <v>159</v>
      </c>
      <c r="E36" s="11">
        <v>3.64</v>
      </c>
      <c r="F36" s="55" t="s">
        <v>82</v>
      </c>
      <c r="G36" s="10" t="s">
        <v>219</v>
      </c>
      <c r="H36" s="10"/>
      <c r="I36" s="57">
        <v>0</v>
      </c>
      <c r="J36" s="10">
        <v>0</v>
      </c>
      <c r="K36" s="10">
        <v>0</v>
      </c>
      <c r="L36" s="10">
        <v>1</v>
      </c>
      <c r="M36" s="10" t="s">
        <v>208</v>
      </c>
      <c r="N36" s="28" t="s">
        <v>205</v>
      </c>
      <c r="O36" s="59">
        <f t="shared" ref="O36:O40" si="3">LOG(I36*10^(1.01*E36+0.12)+(1-I36)*10^(1.01*E36+0.12)/10)</f>
        <v>2.7964000000000011</v>
      </c>
      <c r="P36" s="59" t="s">
        <v>59</v>
      </c>
      <c r="Q36" s="42">
        <v>3.64</v>
      </c>
      <c r="R36" s="42" t="s">
        <v>82</v>
      </c>
      <c r="S36" s="36"/>
      <c r="T36" s="36"/>
      <c r="U36" s="36"/>
      <c r="V36" s="36"/>
      <c r="W36" s="36"/>
      <c r="X36" s="36"/>
      <c r="Y36" s="36"/>
      <c r="Z36" s="36"/>
      <c r="AA36" t="s">
        <v>245</v>
      </c>
    </row>
    <row r="37" spans="1:27">
      <c r="A37" t="s">
        <v>197</v>
      </c>
      <c r="B37" t="s">
        <v>19</v>
      </c>
      <c r="C37" s="9">
        <v>360.34800000000001</v>
      </c>
      <c r="D37" s="10" t="s">
        <v>200</v>
      </c>
      <c r="E37" s="11">
        <v>3.86</v>
      </c>
      <c r="F37" s="55" t="s">
        <v>82</v>
      </c>
      <c r="G37" s="10">
        <v>11.75</v>
      </c>
      <c r="H37" s="10" t="s">
        <v>220</v>
      </c>
      <c r="I37" s="57">
        <v>0</v>
      </c>
      <c r="J37" s="10">
        <v>0</v>
      </c>
      <c r="K37" s="10">
        <v>0</v>
      </c>
      <c r="L37" s="10">
        <v>1</v>
      </c>
      <c r="M37" s="10" t="s">
        <v>208</v>
      </c>
      <c r="N37" s="28" t="s">
        <v>205</v>
      </c>
      <c r="O37" s="59">
        <f t="shared" si="3"/>
        <v>3.0186000000000006</v>
      </c>
      <c r="P37" s="59" t="s">
        <v>59</v>
      </c>
      <c r="Q37" s="42">
        <v>3.86</v>
      </c>
      <c r="R37" s="42" t="s">
        <v>82</v>
      </c>
      <c r="S37" s="36"/>
      <c r="T37" s="36"/>
      <c r="U37" s="36"/>
      <c r="V37" s="36"/>
      <c r="W37" s="36"/>
      <c r="X37" s="36"/>
      <c r="Y37" s="36"/>
      <c r="Z37" s="36"/>
      <c r="AA37" t="s">
        <v>245</v>
      </c>
    </row>
    <row r="38" spans="1:27">
      <c r="A38" t="s">
        <v>162</v>
      </c>
      <c r="B38" t="s">
        <v>21</v>
      </c>
      <c r="C38" s="9">
        <v>371.43299999999999</v>
      </c>
      <c r="D38" s="10" t="s">
        <v>161</v>
      </c>
      <c r="E38" s="11">
        <v>1.37</v>
      </c>
      <c r="F38" s="55" t="s">
        <v>57</v>
      </c>
      <c r="G38" s="10"/>
      <c r="H38" s="10">
        <v>9.6999999999999993</v>
      </c>
      <c r="I38" s="57">
        <v>0.01</v>
      </c>
      <c r="J38" s="10">
        <v>0</v>
      </c>
      <c r="K38" s="52">
        <v>0.99</v>
      </c>
      <c r="L38" s="10">
        <v>0</v>
      </c>
      <c r="M38" s="10" t="s">
        <v>208</v>
      </c>
      <c r="N38" s="28" t="s">
        <v>205</v>
      </c>
      <c r="O38" s="59">
        <f t="shared" si="3"/>
        <v>0.54112649794062417</v>
      </c>
      <c r="P38" s="59" t="s">
        <v>59</v>
      </c>
      <c r="Q38" s="42">
        <v>-0.34</v>
      </c>
      <c r="R38" s="42" t="s">
        <v>82</v>
      </c>
      <c r="S38" s="36"/>
      <c r="T38" s="36"/>
      <c r="U38" s="36"/>
      <c r="V38" s="36"/>
      <c r="W38" s="36"/>
      <c r="X38" s="36"/>
      <c r="Y38" s="36"/>
      <c r="Z38" s="36"/>
      <c r="AA38" t="s">
        <v>245</v>
      </c>
    </row>
    <row r="39" spans="1:27">
      <c r="A39" t="s">
        <v>163</v>
      </c>
      <c r="B39" t="s">
        <v>22</v>
      </c>
      <c r="C39" s="9">
        <v>301.32</v>
      </c>
      <c r="D39" s="10" t="s">
        <v>164</v>
      </c>
      <c r="E39" s="11">
        <v>1.6</v>
      </c>
      <c r="F39" s="55" t="s">
        <v>82</v>
      </c>
      <c r="G39" s="10" t="s">
        <v>221</v>
      </c>
      <c r="H39" s="10" t="s">
        <v>222</v>
      </c>
      <c r="I39" s="57">
        <v>0.98</v>
      </c>
      <c r="J39" s="10">
        <v>0.02</v>
      </c>
      <c r="K39" s="52">
        <v>0</v>
      </c>
      <c r="L39" s="10">
        <v>0</v>
      </c>
      <c r="M39" s="10" t="s">
        <v>208</v>
      </c>
      <c r="N39" s="28" t="s">
        <v>205</v>
      </c>
      <c r="O39" s="59">
        <f t="shared" si="3"/>
        <v>1.7281114877869501</v>
      </c>
      <c r="P39" s="59" t="s">
        <v>59</v>
      </c>
      <c r="Q39" s="42">
        <v>1.6</v>
      </c>
      <c r="R39" s="42" t="s">
        <v>82</v>
      </c>
      <c r="S39" s="36"/>
      <c r="T39" s="36"/>
      <c r="U39" s="36"/>
      <c r="V39" s="36"/>
      <c r="W39" s="36"/>
      <c r="X39" s="36"/>
      <c r="Y39" s="36"/>
      <c r="Z39" s="36"/>
      <c r="AA39" t="s">
        <v>245</v>
      </c>
    </row>
    <row r="40" spans="1:27">
      <c r="A40" t="s">
        <v>168</v>
      </c>
      <c r="B40" t="s">
        <v>23</v>
      </c>
      <c r="C40" s="9">
        <v>824.97199999999998</v>
      </c>
      <c r="D40" s="10" t="s">
        <v>165</v>
      </c>
      <c r="E40" s="11">
        <v>3.33</v>
      </c>
      <c r="F40" s="55" t="s">
        <v>82</v>
      </c>
      <c r="G40" s="10" t="s">
        <v>223</v>
      </c>
      <c r="H40" s="10" t="s">
        <v>224</v>
      </c>
      <c r="I40" s="57">
        <v>0.03</v>
      </c>
      <c r="J40" s="10">
        <v>0</v>
      </c>
      <c r="K40" s="52">
        <v>0.97</v>
      </c>
      <c r="L40" s="10">
        <v>0</v>
      </c>
      <c r="M40" s="10" t="s">
        <v>208</v>
      </c>
      <c r="N40" s="28" t="s">
        <v>205</v>
      </c>
      <c r="O40" s="59">
        <f t="shared" si="3"/>
        <v>2.5871037209559571</v>
      </c>
      <c r="P40" s="59" t="s">
        <v>59</v>
      </c>
      <c r="Q40" s="42">
        <v>2.09</v>
      </c>
      <c r="R40" s="42" t="s">
        <v>82</v>
      </c>
      <c r="S40" s="36"/>
      <c r="T40" s="36"/>
      <c r="U40" s="36"/>
      <c r="V40" s="36"/>
      <c r="W40" s="36"/>
      <c r="X40" s="36"/>
      <c r="Y40" s="36"/>
      <c r="Z40" s="36"/>
      <c r="AA40" t="s">
        <v>245</v>
      </c>
    </row>
    <row r="41" spans="1:27">
      <c r="A41" t="s">
        <v>167</v>
      </c>
      <c r="B41" t="s">
        <v>24</v>
      </c>
      <c r="C41" s="9">
        <v>807.89</v>
      </c>
      <c r="D41" s="10" t="s">
        <v>166</v>
      </c>
      <c r="E41" s="11">
        <v>2.21</v>
      </c>
      <c r="F41" s="55" t="s">
        <v>82</v>
      </c>
      <c r="G41" s="10" t="s">
        <v>225</v>
      </c>
      <c r="H41" s="10"/>
      <c r="I41" s="57">
        <v>1</v>
      </c>
      <c r="J41" s="10">
        <v>0</v>
      </c>
      <c r="K41" s="10">
        <v>0</v>
      </c>
      <c r="L41" s="10">
        <v>0</v>
      </c>
      <c r="M41" s="10" t="s">
        <v>208</v>
      </c>
      <c r="N41" s="28" t="s">
        <v>205</v>
      </c>
      <c r="O41" s="58">
        <f t="shared" ref="O41:O42" si="4">1.01*E41+0.12</f>
        <v>2.3521000000000001</v>
      </c>
      <c r="P41" s="58" t="s">
        <v>66</v>
      </c>
      <c r="Q41" s="42">
        <v>2.21</v>
      </c>
      <c r="R41" s="42" t="s">
        <v>82</v>
      </c>
      <c r="S41" s="36"/>
      <c r="T41" s="36"/>
      <c r="U41" s="36"/>
      <c r="V41" s="36"/>
      <c r="W41" s="36"/>
      <c r="X41" s="36"/>
      <c r="Y41" s="36"/>
      <c r="Z41" s="36"/>
      <c r="AA41" t="s">
        <v>245</v>
      </c>
    </row>
    <row r="42" spans="1:27">
      <c r="A42" t="s">
        <v>170</v>
      </c>
      <c r="B42" t="s">
        <v>25</v>
      </c>
      <c r="C42" s="9">
        <v>507.69</v>
      </c>
      <c r="D42" s="10" t="s">
        <v>169</v>
      </c>
      <c r="E42" s="11">
        <v>3.79</v>
      </c>
      <c r="F42" s="55" t="s">
        <v>82</v>
      </c>
      <c r="G42" s="10" t="s">
        <v>226</v>
      </c>
      <c r="H42" s="10">
        <v>2.73</v>
      </c>
      <c r="I42" s="57">
        <v>1</v>
      </c>
      <c r="J42" s="10">
        <v>0</v>
      </c>
      <c r="K42" s="10">
        <v>0</v>
      </c>
      <c r="L42" s="10">
        <v>0</v>
      </c>
      <c r="M42" s="10" t="s">
        <v>208</v>
      </c>
      <c r="N42" s="28" t="s">
        <v>205</v>
      </c>
      <c r="O42" s="58">
        <f t="shared" si="4"/>
        <v>3.9479000000000002</v>
      </c>
      <c r="P42" s="58" t="s">
        <v>66</v>
      </c>
      <c r="Q42" s="42">
        <v>3.79</v>
      </c>
      <c r="R42" s="42" t="s">
        <v>82</v>
      </c>
      <c r="S42" s="36"/>
      <c r="T42" s="36"/>
      <c r="U42" s="36"/>
      <c r="V42" s="36"/>
      <c r="W42" s="36"/>
      <c r="X42" s="36"/>
      <c r="Y42" s="36"/>
      <c r="Z42" s="36"/>
      <c r="AA42" t="s">
        <v>245</v>
      </c>
    </row>
    <row r="43" spans="1:27">
      <c r="A43" t="s">
        <v>172</v>
      </c>
      <c r="B43" t="s">
        <v>28</v>
      </c>
      <c r="C43" s="9">
        <v>376.42</v>
      </c>
      <c r="D43" s="10" t="s">
        <v>171</v>
      </c>
      <c r="E43" s="11">
        <v>-7.0000000000000007E-2</v>
      </c>
      <c r="F43" s="55" t="s">
        <v>82</v>
      </c>
      <c r="G43" s="10" t="s">
        <v>227</v>
      </c>
      <c r="H43" s="10" t="s">
        <v>228</v>
      </c>
      <c r="I43" s="57">
        <v>0</v>
      </c>
      <c r="J43" s="10">
        <v>1</v>
      </c>
      <c r="K43" s="52">
        <v>0</v>
      </c>
      <c r="L43" s="10">
        <v>0</v>
      </c>
      <c r="M43" s="10" t="s">
        <v>208</v>
      </c>
      <c r="N43" s="28" t="s">
        <v>205</v>
      </c>
      <c r="O43" s="59">
        <f>LOG(I43*10^(1.01*E43+0.12)+(1-I43)*10^(1.01*E43+0.12)/10)</f>
        <v>-0.95069999999999999</v>
      </c>
      <c r="P43" s="59" t="s">
        <v>59</v>
      </c>
      <c r="Q43" s="42">
        <v>-1.8</v>
      </c>
      <c r="R43" s="42" t="s">
        <v>82</v>
      </c>
      <c r="S43" s="36"/>
      <c r="T43" s="36"/>
      <c r="U43" s="36"/>
      <c r="V43" s="36"/>
      <c r="W43" s="36"/>
      <c r="X43" s="36"/>
      <c r="Y43" s="36"/>
      <c r="Z43" s="36"/>
      <c r="AA43" t="s">
        <v>245</v>
      </c>
    </row>
    <row r="44" spans="1:27">
      <c r="A44" t="s">
        <v>174</v>
      </c>
      <c r="B44" t="s">
        <v>30</v>
      </c>
      <c r="C44" s="9">
        <v>618.77200000000005</v>
      </c>
      <c r="D44" s="10" t="s">
        <v>173</v>
      </c>
      <c r="E44" s="11">
        <v>3.2490000000000001</v>
      </c>
      <c r="F44" t="s">
        <v>208</v>
      </c>
      <c r="G44" s="10" t="s">
        <v>212</v>
      </c>
      <c r="H44" s="10" t="s">
        <v>211</v>
      </c>
      <c r="I44" s="57">
        <v>1</v>
      </c>
      <c r="J44" s="10">
        <v>0</v>
      </c>
      <c r="K44" s="52">
        <v>0</v>
      </c>
      <c r="L44" s="10">
        <v>0</v>
      </c>
      <c r="M44" s="10" t="s">
        <v>208</v>
      </c>
      <c r="N44" s="28" t="s">
        <v>205</v>
      </c>
      <c r="O44" s="58">
        <f t="shared" ref="O44" si="5">1.01*E44+0.12</f>
        <v>3.4014900000000003</v>
      </c>
      <c r="P44" s="58" t="s">
        <v>66</v>
      </c>
      <c r="Q44" s="42"/>
      <c r="R44" s="42"/>
      <c r="S44" s="36"/>
      <c r="T44" s="36"/>
      <c r="U44" s="36"/>
      <c r="V44" s="36"/>
      <c r="W44" s="36"/>
      <c r="X44" s="36"/>
      <c r="Y44" s="36"/>
      <c r="Z44" s="36"/>
      <c r="AA44" t="s">
        <v>245</v>
      </c>
    </row>
    <row r="45" spans="1:27">
      <c r="A45" t="s">
        <v>178</v>
      </c>
      <c r="B45" t="s">
        <v>31</v>
      </c>
      <c r="C45" s="9">
        <v>265.30900000000003</v>
      </c>
      <c r="D45" s="10" t="s">
        <v>175</v>
      </c>
      <c r="E45" s="11">
        <v>1.1200000000000001</v>
      </c>
      <c r="F45" s="55" t="s">
        <v>82</v>
      </c>
      <c r="G45" s="10">
        <v>13.77</v>
      </c>
      <c r="H45" s="10">
        <v>8.2200000000000006</v>
      </c>
      <c r="I45" s="57">
        <v>0.13</v>
      </c>
      <c r="J45" s="10">
        <v>0</v>
      </c>
      <c r="K45" s="52">
        <v>0.87</v>
      </c>
      <c r="L45" s="10">
        <v>0</v>
      </c>
      <c r="M45" s="10" t="s">
        <v>208</v>
      </c>
      <c r="N45" s="28" t="s">
        <v>205</v>
      </c>
      <c r="O45" s="59">
        <f>LOG(I45*10^(1.01*E45+0.12)+(1-I45)*10^(1.01*E45+0.12)/10)</f>
        <v>0.58765973384852999</v>
      </c>
      <c r="P45" s="59" t="s">
        <v>59</v>
      </c>
      <c r="Q45" s="42">
        <v>7.0000000000000007E-2</v>
      </c>
      <c r="R45" s="42" t="s">
        <v>82</v>
      </c>
      <c r="S45" s="36"/>
      <c r="T45" s="36"/>
      <c r="U45" s="36"/>
      <c r="V45" s="36"/>
      <c r="W45" s="36"/>
      <c r="X45" s="36"/>
      <c r="Y45" s="36"/>
      <c r="Z45" s="36"/>
      <c r="AA45" t="s">
        <v>245</v>
      </c>
    </row>
    <row r="46" spans="1:27">
      <c r="A46" t="s">
        <v>177</v>
      </c>
      <c r="B46" t="s">
        <v>32</v>
      </c>
      <c r="C46" s="9">
        <v>281.35199999999998</v>
      </c>
      <c r="D46" s="10" t="s">
        <v>176</v>
      </c>
      <c r="E46" s="11">
        <v>0.55000000000000004</v>
      </c>
      <c r="F46" s="55" t="s">
        <v>57</v>
      </c>
      <c r="G46" s="10">
        <v>11.8</v>
      </c>
      <c r="H46" s="15">
        <v>-0.51</v>
      </c>
      <c r="I46" s="57">
        <v>1</v>
      </c>
      <c r="J46" s="10">
        <v>0</v>
      </c>
      <c r="K46" s="10">
        <v>0</v>
      </c>
      <c r="L46" s="10">
        <v>0</v>
      </c>
      <c r="M46" s="10" t="s">
        <v>208</v>
      </c>
      <c r="N46" s="28" t="s">
        <v>205</v>
      </c>
      <c r="O46" s="58">
        <f t="shared" ref="O46" si="6">1.01*E46+0.12</f>
        <v>0.6755000000000001</v>
      </c>
      <c r="P46" s="58" t="s">
        <v>66</v>
      </c>
      <c r="Q46" s="42">
        <v>0.4</v>
      </c>
      <c r="R46" s="42" t="s">
        <v>82</v>
      </c>
      <c r="S46" s="36"/>
      <c r="T46" s="36"/>
      <c r="U46" s="36"/>
      <c r="V46" s="36"/>
      <c r="W46" s="36"/>
      <c r="X46" s="36"/>
      <c r="Y46" s="36"/>
      <c r="Z46" s="36"/>
      <c r="AA46" t="s">
        <v>245</v>
      </c>
    </row>
    <row r="47" spans="1:27">
      <c r="A47" t="s">
        <v>180</v>
      </c>
      <c r="B47" t="s">
        <v>33</v>
      </c>
      <c r="C47" s="9">
        <v>480.649</v>
      </c>
      <c r="D47" s="10" t="s">
        <v>179</v>
      </c>
      <c r="E47" s="11">
        <v>4.07</v>
      </c>
      <c r="F47" s="55" t="s">
        <v>82</v>
      </c>
      <c r="G47" s="10"/>
      <c r="H47" s="10" t="s">
        <v>229</v>
      </c>
      <c r="I47" s="57">
        <v>0</v>
      </c>
      <c r="J47" s="10">
        <v>0</v>
      </c>
      <c r="K47" s="52">
        <v>1</v>
      </c>
      <c r="L47" s="10">
        <v>0</v>
      </c>
      <c r="M47" s="10" t="s">
        <v>208</v>
      </c>
      <c r="N47" s="28" t="s">
        <v>205</v>
      </c>
      <c r="O47" s="59">
        <f>LOG(I47*10^(1.01*E47+0.12)+(1-I47)*10^(1.01*E47+0.12)/10)</f>
        <v>3.230700000000001</v>
      </c>
      <c r="P47" s="59" t="s">
        <v>59</v>
      </c>
      <c r="Q47" s="42">
        <v>1.61</v>
      </c>
      <c r="R47" s="42" t="s">
        <v>82</v>
      </c>
      <c r="S47" s="36"/>
      <c r="T47" s="36"/>
      <c r="U47" s="36"/>
      <c r="V47" s="36"/>
      <c r="W47" s="36"/>
      <c r="X47" s="36"/>
      <c r="Y47" s="36"/>
      <c r="Z47" s="36"/>
      <c r="AA47" t="s">
        <v>245</v>
      </c>
    </row>
    <row r="48" spans="1:27">
      <c r="A48" t="s">
        <v>202</v>
      </c>
      <c r="B48" s="44" t="s">
        <v>13</v>
      </c>
      <c r="C48" s="9">
        <v>454.447</v>
      </c>
      <c r="D48" s="10" t="s">
        <v>138</v>
      </c>
      <c r="E48" s="11">
        <v>-1.85</v>
      </c>
      <c r="F48" s="55" t="s">
        <v>57</v>
      </c>
      <c r="G48" s="10" t="s">
        <v>139</v>
      </c>
      <c r="H48" s="10" t="s">
        <v>140</v>
      </c>
      <c r="I48" s="57">
        <v>0</v>
      </c>
      <c r="J48" s="10">
        <v>1</v>
      </c>
      <c r="K48" s="52">
        <v>0</v>
      </c>
      <c r="L48" s="10">
        <v>0</v>
      </c>
      <c r="M48" s="10" t="s">
        <v>58</v>
      </c>
      <c r="N48" s="16">
        <v>-0.63</v>
      </c>
      <c r="O48" s="54">
        <v>-1</v>
      </c>
      <c r="P48" s="13" t="s">
        <v>141</v>
      </c>
      <c r="Q48" s="38">
        <f>IF(E48&lt;2,1.31,0.71*E48+0.42)</f>
        <v>1.31</v>
      </c>
      <c r="R48" s="38" t="s">
        <v>67</v>
      </c>
      <c r="S48" s="39" t="s">
        <v>62</v>
      </c>
      <c r="T48" s="40" t="s">
        <v>61</v>
      </c>
      <c r="U48" s="39">
        <v>7.4013190073243655E-5</v>
      </c>
      <c r="V48" s="40" t="s">
        <v>61</v>
      </c>
      <c r="W48" s="39">
        <v>1.5198426697251521E-5</v>
      </c>
      <c r="X48" s="40" t="s">
        <v>61</v>
      </c>
      <c r="Y48" s="41"/>
      <c r="Z48" s="41"/>
      <c r="AA48" t="s">
        <v>243</v>
      </c>
    </row>
    <row r="49" spans="1:27">
      <c r="A49" t="s">
        <v>182</v>
      </c>
      <c r="B49" s="45" t="s">
        <v>0</v>
      </c>
      <c r="C49" s="9">
        <v>479.61700000000002</v>
      </c>
      <c r="D49" s="10" t="s">
        <v>181</v>
      </c>
      <c r="E49" s="11">
        <v>3.37</v>
      </c>
      <c r="F49" s="55" t="s">
        <v>57</v>
      </c>
      <c r="G49" s="10">
        <v>13.11</v>
      </c>
      <c r="H49" s="10">
        <v>3.5</v>
      </c>
      <c r="I49" s="57">
        <v>1</v>
      </c>
      <c r="J49" s="10">
        <v>0</v>
      </c>
      <c r="K49" s="10">
        <v>0</v>
      </c>
      <c r="L49" s="10">
        <v>0</v>
      </c>
      <c r="M49" s="10" t="s">
        <v>208</v>
      </c>
      <c r="N49" s="28" t="s">
        <v>205</v>
      </c>
      <c r="O49" s="58">
        <f t="shared" ref="O49" si="7">1.01*E49+0.12</f>
        <v>3.5237000000000003</v>
      </c>
      <c r="P49" s="58" t="s">
        <v>66</v>
      </c>
      <c r="Q49" s="42">
        <v>3.36</v>
      </c>
      <c r="R49" s="42" t="s">
        <v>82</v>
      </c>
      <c r="S49" s="36"/>
      <c r="T49" s="36"/>
      <c r="U49" s="36"/>
      <c r="V49" s="36"/>
      <c r="W49" s="36"/>
      <c r="X49" s="36"/>
      <c r="Y49" s="36"/>
      <c r="Z49" s="36"/>
      <c r="AA49" t="s">
        <v>243</v>
      </c>
    </row>
    <row r="50" spans="1:27">
      <c r="A50" s="46" t="s">
        <v>194</v>
      </c>
      <c r="B50" s="46" t="s">
        <v>3</v>
      </c>
      <c r="C50" s="47">
        <v>509.51799999999997</v>
      </c>
      <c r="D50" s="28" t="s">
        <v>205</v>
      </c>
      <c r="E50" s="11">
        <v>2.871</v>
      </c>
      <c r="F50" t="s">
        <v>208</v>
      </c>
      <c r="G50" s="10" t="s">
        <v>207</v>
      </c>
      <c r="H50" s="10" t="s">
        <v>213</v>
      </c>
      <c r="I50" s="57">
        <v>0.04</v>
      </c>
      <c r="J50" s="10">
        <v>0</v>
      </c>
      <c r="K50" s="52">
        <v>0.96</v>
      </c>
      <c r="L50" s="10">
        <v>0</v>
      </c>
      <c r="M50" s="10" t="s">
        <v>208</v>
      </c>
      <c r="N50" s="28" t="s">
        <v>205</v>
      </c>
      <c r="O50" s="59">
        <f>LOG(I50*10^(1.01*E50+0.12)+(1-I50)*10^(1.01*E50+0.12)/10)</f>
        <v>2.1532489083702182</v>
      </c>
      <c r="P50" s="59" t="s">
        <v>59</v>
      </c>
      <c r="Q50" s="42"/>
      <c r="R50" s="42"/>
      <c r="S50" s="36"/>
      <c r="T50" s="36"/>
      <c r="U50" s="36"/>
      <c r="V50" s="36"/>
      <c r="W50" s="36"/>
      <c r="X50" s="36"/>
      <c r="Y50" s="36"/>
      <c r="Z50" s="36"/>
      <c r="AA50" t="s">
        <v>243</v>
      </c>
    </row>
    <row r="51" spans="1:27">
      <c r="A51" t="s">
        <v>184</v>
      </c>
      <c r="B51" s="45" t="s">
        <v>6</v>
      </c>
      <c r="C51" s="9">
        <v>418.57400000000001</v>
      </c>
      <c r="D51" s="10" t="s">
        <v>183</v>
      </c>
      <c r="E51" s="11">
        <v>4.68</v>
      </c>
      <c r="F51" s="55" t="s">
        <v>57</v>
      </c>
      <c r="G51" s="10">
        <v>14.91</v>
      </c>
      <c r="H51" s="10"/>
      <c r="I51" s="57">
        <v>1</v>
      </c>
      <c r="J51" s="10">
        <v>0</v>
      </c>
      <c r="K51" s="10">
        <v>0</v>
      </c>
      <c r="L51" s="10">
        <v>0</v>
      </c>
      <c r="M51" s="10" t="s">
        <v>208</v>
      </c>
      <c r="N51" s="28" t="s">
        <v>205</v>
      </c>
      <c r="O51" s="58">
        <f t="shared" ref="O51" si="8">1.01*E51+0.12</f>
        <v>4.8468</v>
      </c>
      <c r="P51" s="58" t="s">
        <v>66</v>
      </c>
      <c r="Q51" s="42">
        <v>3.7</v>
      </c>
      <c r="R51" s="42" t="s">
        <v>82</v>
      </c>
      <c r="S51" s="36"/>
      <c r="T51" s="36"/>
      <c r="U51" s="36"/>
      <c r="V51" s="36"/>
      <c r="W51" s="36"/>
      <c r="X51" s="36"/>
      <c r="Y51" s="36"/>
      <c r="Z51" s="36"/>
      <c r="AA51" t="s">
        <v>243</v>
      </c>
    </row>
    <row r="52" spans="1:27">
      <c r="A52" t="s">
        <v>186</v>
      </c>
      <c r="B52" s="45" t="s">
        <v>8</v>
      </c>
      <c r="C52" s="9">
        <v>298.02999999999997</v>
      </c>
      <c r="D52" s="10" t="s">
        <v>185</v>
      </c>
      <c r="E52" s="11">
        <v>4.68</v>
      </c>
      <c r="F52" s="55" t="s">
        <v>57</v>
      </c>
      <c r="G52" s="10"/>
      <c r="H52" s="10" t="s">
        <v>230</v>
      </c>
      <c r="I52" s="57">
        <v>0.94</v>
      </c>
      <c r="J52" s="10">
        <v>0</v>
      </c>
      <c r="K52" s="10">
        <v>0.06</v>
      </c>
      <c r="L52" s="10">
        <v>0</v>
      </c>
      <c r="M52" s="10" t="s">
        <v>208</v>
      </c>
      <c r="N52" s="28" t="s">
        <v>205</v>
      </c>
      <c r="O52" s="59">
        <f>LOG(I52*10^(1.01*E52+0.12)+(1-I52)*10^(1.01*E52+0.12)/10)</f>
        <v>4.8226911364017928</v>
      </c>
      <c r="P52" s="59" t="s">
        <v>59</v>
      </c>
      <c r="Q52" s="42">
        <v>3.7</v>
      </c>
      <c r="R52" s="42" t="s">
        <v>82</v>
      </c>
      <c r="S52" s="36"/>
      <c r="T52" s="36"/>
      <c r="U52" s="36"/>
      <c r="V52" s="36"/>
      <c r="W52" s="36"/>
      <c r="X52" s="36"/>
      <c r="Y52" s="36"/>
      <c r="Z52" s="36"/>
      <c r="AA52" t="s">
        <v>243</v>
      </c>
    </row>
    <row r="53" spans="1:27">
      <c r="A53" s="46" t="s">
        <v>201</v>
      </c>
      <c r="B53" s="46" t="s">
        <v>18</v>
      </c>
      <c r="C53" s="47">
        <v>905</v>
      </c>
      <c r="D53" s="10" t="s">
        <v>187</v>
      </c>
      <c r="E53" s="11">
        <v>5.04</v>
      </c>
      <c r="F53" t="s">
        <v>208</v>
      </c>
      <c r="G53" s="10" t="s">
        <v>214</v>
      </c>
      <c r="H53" s="15" t="s">
        <v>210</v>
      </c>
      <c r="I53" s="57">
        <v>1</v>
      </c>
      <c r="J53" s="10">
        <v>0</v>
      </c>
      <c r="K53" s="10">
        <v>0</v>
      </c>
      <c r="L53" s="10">
        <v>0</v>
      </c>
      <c r="M53" s="10" t="s">
        <v>208</v>
      </c>
      <c r="N53" s="28" t="s">
        <v>205</v>
      </c>
      <c r="O53" s="58">
        <f t="shared" ref="O53:O57" si="9">1.01*E53+0.12</f>
        <v>5.2103999999999999</v>
      </c>
      <c r="P53" s="58" t="s">
        <v>66</v>
      </c>
      <c r="Q53" s="42"/>
      <c r="R53" s="42"/>
      <c r="S53" s="36"/>
      <c r="T53" s="36"/>
      <c r="U53" s="36"/>
      <c r="V53" s="36"/>
      <c r="W53" s="36"/>
      <c r="X53" s="36"/>
      <c r="Y53" s="36"/>
      <c r="Z53" s="36"/>
      <c r="AA53" t="s">
        <v>243</v>
      </c>
    </row>
    <row r="54" spans="1:27">
      <c r="A54" t="s">
        <v>189</v>
      </c>
      <c r="B54" s="45" t="s">
        <v>20</v>
      </c>
      <c r="C54" s="9">
        <v>399.44299999999998</v>
      </c>
      <c r="D54" s="10" t="s">
        <v>188</v>
      </c>
      <c r="E54" s="11">
        <v>1.3</v>
      </c>
      <c r="F54" s="55" t="s">
        <v>57</v>
      </c>
      <c r="G54" s="10">
        <v>15.06</v>
      </c>
      <c r="H54" s="10">
        <v>0.8</v>
      </c>
      <c r="I54" s="57">
        <v>1</v>
      </c>
      <c r="J54" s="10">
        <v>0</v>
      </c>
      <c r="K54" s="10">
        <v>0</v>
      </c>
      <c r="L54" s="10">
        <v>0</v>
      </c>
      <c r="M54" s="10" t="s">
        <v>208</v>
      </c>
      <c r="N54" s="28" t="s">
        <v>205</v>
      </c>
      <c r="O54" s="58">
        <f t="shared" si="9"/>
        <v>1.4330000000000003</v>
      </c>
      <c r="P54" s="58" t="s">
        <v>66</v>
      </c>
      <c r="Q54" s="42">
        <v>1.1000000000000001</v>
      </c>
      <c r="R54" s="42" t="s">
        <v>82</v>
      </c>
      <c r="S54" s="36"/>
      <c r="T54" s="36"/>
      <c r="U54" s="36"/>
      <c r="V54" s="36"/>
      <c r="W54" s="36"/>
      <c r="X54" s="36"/>
      <c r="Y54" s="36"/>
      <c r="Z54" s="36"/>
      <c r="AA54" t="s">
        <v>243</v>
      </c>
    </row>
    <row r="55" spans="1:27">
      <c r="A55" t="s">
        <v>191</v>
      </c>
      <c r="B55" s="45" t="s">
        <v>26</v>
      </c>
      <c r="C55" s="9">
        <v>853.91800000000001</v>
      </c>
      <c r="D55" s="10" t="s">
        <v>190</v>
      </c>
      <c r="E55" s="11">
        <v>2.0099999999999998</v>
      </c>
      <c r="F55" s="55" t="s">
        <v>82</v>
      </c>
      <c r="G55" s="10" t="s">
        <v>231</v>
      </c>
      <c r="H55" s="10">
        <v>0.06</v>
      </c>
      <c r="I55" s="57">
        <v>1</v>
      </c>
      <c r="J55" s="10">
        <v>0</v>
      </c>
      <c r="K55" s="10">
        <v>0</v>
      </c>
      <c r="L55" s="10">
        <v>0</v>
      </c>
      <c r="M55" s="10" t="s">
        <v>208</v>
      </c>
      <c r="N55" s="28" t="s">
        <v>205</v>
      </c>
      <c r="O55" s="58">
        <f t="shared" si="9"/>
        <v>2.1501000000000001</v>
      </c>
      <c r="P55" s="58" t="s">
        <v>66</v>
      </c>
      <c r="Q55" s="42">
        <v>0.75</v>
      </c>
      <c r="R55" s="42" t="s">
        <v>82</v>
      </c>
      <c r="S55" s="36"/>
      <c r="T55" s="36"/>
      <c r="U55" s="36"/>
      <c r="V55" s="36"/>
      <c r="W55" s="36"/>
      <c r="X55" s="36"/>
      <c r="Y55" s="36"/>
      <c r="Z55" s="36"/>
      <c r="AA55" t="s">
        <v>243</v>
      </c>
    </row>
    <row r="56" spans="1:27">
      <c r="A56" s="46" t="s">
        <v>198</v>
      </c>
      <c r="B56" s="46" t="s">
        <v>27</v>
      </c>
      <c r="C56" s="47">
        <v>383.53300000000002</v>
      </c>
      <c r="D56" s="28" t="s">
        <v>205</v>
      </c>
      <c r="E56" s="11">
        <v>1.9279999999999999</v>
      </c>
      <c r="F56" t="s">
        <v>208</v>
      </c>
      <c r="G56" s="10" t="s">
        <v>216</v>
      </c>
      <c r="H56" s="10" t="s">
        <v>215</v>
      </c>
      <c r="I56" s="57">
        <v>1</v>
      </c>
      <c r="J56" s="10">
        <v>0</v>
      </c>
      <c r="K56" s="10">
        <v>0</v>
      </c>
      <c r="L56" s="10">
        <v>0</v>
      </c>
      <c r="M56" s="10" t="s">
        <v>208</v>
      </c>
      <c r="N56" s="28" t="s">
        <v>205</v>
      </c>
      <c r="O56" s="58">
        <f t="shared" si="9"/>
        <v>2.0672799999999998</v>
      </c>
      <c r="P56" s="58" t="s">
        <v>66</v>
      </c>
      <c r="Q56" s="42"/>
      <c r="R56" s="42"/>
      <c r="S56" s="36"/>
      <c r="T56" s="36"/>
      <c r="U56" s="36"/>
      <c r="V56" s="36"/>
      <c r="W56" s="36"/>
      <c r="X56" s="36"/>
      <c r="Y56" s="36"/>
      <c r="Z56" s="36"/>
      <c r="AA56" t="s">
        <v>243</v>
      </c>
    </row>
    <row r="57" spans="1:27">
      <c r="A57" t="s">
        <v>193</v>
      </c>
      <c r="B57" s="45" t="s">
        <v>29</v>
      </c>
      <c r="C57" s="9">
        <v>475.63</v>
      </c>
      <c r="D57" s="10" t="s">
        <v>192</v>
      </c>
      <c r="E57" s="11">
        <v>4.71</v>
      </c>
      <c r="F57" s="55" t="s">
        <v>82</v>
      </c>
      <c r="G57" s="10" t="s">
        <v>233</v>
      </c>
      <c r="H57" s="10" t="s">
        <v>232</v>
      </c>
      <c r="I57" s="57">
        <v>1</v>
      </c>
      <c r="J57" s="10">
        <v>0</v>
      </c>
      <c r="K57" s="10">
        <v>0</v>
      </c>
      <c r="L57" s="10">
        <v>0</v>
      </c>
      <c r="M57" s="10" t="s">
        <v>208</v>
      </c>
      <c r="N57" s="28" t="s">
        <v>205</v>
      </c>
      <c r="O57" s="58">
        <f t="shared" si="9"/>
        <v>4.8771000000000004</v>
      </c>
      <c r="P57" s="58" t="s">
        <v>66</v>
      </c>
      <c r="Q57" s="42">
        <v>3.58</v>
      </c>
      <c r="R57" s="42" t="s">
        <v>82</v>
      </c>
      <c r="S57" s="36"/>
      <c r="T57" s="36"/>
      <c r="U57" s="36"/>
      <c r="V57" s="36"/>
      <c r="W57" s="36"/>
      <c r="X57" s="36"/>
      <c r="Y57" s="36"/>
      <c r="Z57" s="36"/>
      <c r="AA57" t="s">
        <v>243</v>
      </c>
    </row>
    <row r="58" spans="1:27">
      <c r="A58" s="48"/>
      <c r="B58" s="48" t="s">
        <v>34</v>
      </c>
      <c r="C58" s="49"/>
      <c r="D58" s="50"/>
      <c r="E58" s="48"/>
      <c r="F58" s="48"/>
      <c r="G58" s="48"/>
      <c r="H58" s="48"/>
      <c r="I58" s="48"/>
      <c r="J58" s="48"/>
      <c r="K58" s="53"/>
      <c r="L58" s="48"/>
      <c r="M58" s="48"/>
      <c r="N58" s="48"/>
      <c r="O58" s="48"/>
      <c r="P58" s="48"/>
      <c r="Q58" s="42" t="s">
        <v>145</v>
      </c>
      <c r="AA58" t="s">
        <v>244</v>
      </c>
    </row>
    <row r="60" spans="1:27">
      <c r="A60" t="s">
        <v>238</v>
      </c>
    </row>
    <row r="62" spans="1:27">
      <c r="A62" t="s">
        <v>239</v>
      </c>
    </row>
    <row r="63" spans="1:27">
      <c r="A63" t="s">
        <v>240</v>
      </c>
    </row>
    <row r="64" spans="1:27">
      <c r="A64" t="s">
        <v>208</v>
      </c>
    </row>
    <row r="69" spans="1:26">
      <c r="A69" t="s">
        <v>242</v>
      </c>
    </row>
    <row r="70" spans="1:26">
      <c r="A70" s="8" t="s">
        <v>129</v>
      </c>
      <c r="B70" s="8" t="s">
        <v>130</v>
      </c>
      <c r="C70" s="9">
        <v>404.54700000000003</v>
      </c>
      <c r="D70" s="10" t="s">
        <v>131</v>
      </c>
      <c r="E70" s="11">
        <v>4.26</v>
      </c>
      <c r="F70" s="12" t="s">
        <v>57</v>
      </c>
      <c r="G70" s="10">
        <v>14.64</v>
      </c>
      <c r="H70" s="10"/>
      <c r="I70" s="10">
        <v>1</v>
      </c>
      <c r="J70" s="10">
        <v>0</v>
      </c>
      <c r="K70" s="10">
        <v>0</v>
      </c>
      <c r="L70" s="10">
        <v>0</v>
      </c>
      <c r="M70" s="10" t="s">
        <v>58</v>
      </c>
      <c r="N70" s="10"/>
      <c r="O70" s="16">
        <v>3.77</v>
      </c>
      <c r="P70" s="10" t="s">
        <v>77</v>
      </c>
      <c r="Q70" s="16">
        <v>3.72</v>
      </c>
      <c r="R70" s="10" t="s">
        <v>77</v>
      </c>
      <c r="S70" s="14">
        <v>5.9588082391171006E-5</v>
      </c>
      <c r="T70" s="15" t="s">
        <v>61</v>
      </c>
      <c r="U70" s="14">
        <v>6.5026236694443258E-5</v>
      </c>
      <c r="V70" s="15" t="s">
        <v>61</v>
      </c>
      <c r="W70" s="14" t="s">
        <v>62</v>
      </c>
      <c r="X70" s="15" t="s">
        <v>61</v>
      </c>
      <c r="Y70" s="10"/>
      <c r="Z70" s="10"/>
    </row>
    <row r="71" spans="1:26">
      <c r="A71" s="8" t="s">
        <v>132</v>
      </c>
      <c r="B71" s="8" t="s">
        <v>133</v>
      </c>
      <c r="C71" s="9">
        <v>588.56200000000001</v>
      </c>
      <c r="D71" s="10" t="s">
        <v>134</v>
      </c>
      <c r="E71" s="11">
        <v>0.6</v>
      </c>
      <c r="F71" s="12" t="s">
        <v>57</v>
      </c>
      <c r="G71" s="10" t="s">
        <v>135</v>
      </c>
      <c r="H71" s="10"/>
      <c r="I71" s="10">
        <v>1</v>
      </c>
      <c r="J71" s="10">
        <v>0</v>
      </c>
      <c r="K71" s="10">
        <v>0</v>
      </c>
      <c r="L71" s="10">
        <v>0</v>
      </c>
      <c r="M71" s="10" t="s">
        <v>58</v>
      </c>
      <c r="N71" s="10"/>
      <c r="O71" s="13">
        <f>1.01*E71+0.12</f>
        <v>0.72599999999999998</v>
      </c>
      <c r="P71" s="13" t="s">
        <v>66</v>
      </c>
      <c r="Q71" s="13">
        <f>IF(E71&lt;2,1.31,0.71*E71+0.42)</f>
        <v>1.31</v>
      </c>
      <c r="R71" s="13" t="s">
        <v>67</v>
      </c>
      <c r="S71" s="14">
        <v>4.4400138152744183E-5</v>
      </c>
      <c r="T71" s="15" t="s">
        <v>61</v>
      </c>
      <c r="U71" s="14">
        <v>3.8196604745197012E-5</v>
      </c>
      <c r="V71" s="15" t="s">
        <v>61</v>
      </c>
      <c r="W71" s="14">
        <v>3.4996307018236275E-5</v>
      </c>
      <c r="X71" s="15" t="s">
        <v>61</v>
      </c>
      <c r="Y71" s="10"/>
      <c r="Z71" s="10"/>
    </row>
    <row r="72" spans="1:26">
      <c r="A72" s="8" t="s">
        <v>136</v>
      </c>
      <c r="B72" s="8" t="s">
        <v>137</v>
      </c>
      <c r="C72" s="9">
        <v>454.447</v>
      </c>
      <c r="D72" s="10" t="s">
        <v>138</v>
      </c>
      <c r="E72" s="11">
        <v>-1.85</v>
      </c>
      <c r="F72" s="12" t="s">
        <v>57</v>
      </c>
      <c r="G72" s="10" t="s">
        <v>139</v>
      </c>
      <c r="H72" s="10" t="s">
        <v>140</v>
      </c>
      <c r="I72" s="10">
        <v>0</v>
      </c>
      <c r="J72" s="10">
        <v>1</v>
      </c>
      <c r="K72" s="10">
        <v>0</v>
      </c>
      <c r="L72" s="10">
        <v>0</v>
      </c>
      <c r="M72" s="10" t="s">
        <v>58</v>
      </c>
      <c r="N72" s="10"/>
      <c r="O72" s="13">
        <v>-1</v>
      </c>
      <c r="P72" s="13" t="s">
        <v>141</v>
      </c>
      <c r="Q72" s="13">
        <f>IF(E72&lt;2,1.31,0.71*E72+0.42)</f>
        <v>1.31</v>
      </c>
      <c r="R72" s="13" t="s">
        <v>67</v>
      </c>
      <c r="S72" s="14" t="s">
        <v>62</v>
      </c>
      <c r="T72" s="15" t="s">
        <v>61</v>
      </c>
      <c r="U72" s="14">
        <v>7.4013190073243655E-5</v>
      </c>
      <c r="V72" s="15" t="s">
        <v>61</v>
      </c>
      <c r="W72" s="14">
        <v>1.5198426697251521E-5</v>
      </c>
      <c r="X72" s="15" t="s">
        <v>61</v>
      </c>
      <c r="Y72" s="10"/>
      <c r="Z72" s="10"/>
    </row>
  </sheetData>
  <autoFilter ref="B23:B57" xr:uid="{C098E1C5-6772-4E3E-A763-33A193955080}">
    <sortState xmlns:xlrd2="http://schemas.microsoft.com/office/spreadsheetml/2017/richdata2" ref="B24:B57">
      <sortCondition sortBy="cellColor" ref="B23:B57" dxfId="0"/>
    </sortState>
  </autoFilter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table</vt:lpstr>
      <vt:lpstr>original list</vt:lpstr>
      <vt:lpstr>with detailed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정은 이</dc:creator>
  <cp:lastModifiedBy>정은 이</cp:lastModifiedBy>
  <dcterms:created xsi:type="dcterms:W3CDTF">2025-09-02T06:05:12Z</dcterms:created>
  <dcterms:modified xsi:type="dcterms:W3CDTF">2025-09-09T21:47:56Z</dcterms:modified>
</cp:coreProperties>
</file>